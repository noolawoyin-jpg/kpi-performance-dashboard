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Dashboard" sheetId="2" state="visible" r:id="rId4"/>
    <sheet name="KPI Calc" sheetId="3" state="hidden" r:id="rId5"/>
    <sheet name="Charts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<sst xmlns="http://schemas.openxmlformats.org/spreadsheetml/2006/main" count="93" uniqueCount="72">
  <si>
    <t xml:space="preserve">Month</t>
  </si>
  <si>
    <t xml:space="preserve">Quarter</t>
  </si>
  <si>
    <t xml:space="preserve">MRR ($)</t>
  </si>
  <si>
    <t xml:space="preserve">New ARR ($)</t>
  </si>
  <si>
    <t xml:space="preserve">Churn ARR ($)</t>
  </si>
  <si>
    <t xml:space="preserve">Expansion ARR ($)</t>
  </si>
  <si>
    <t xml:space="preserve">Active Customers</t>
  </si>
  <si>
    <t xml:space="preserve">New Customers</t>
  </si>
  <si>
    <t xml:space="preserve">Churned Customers</t>
  </si>
  <si>
    <t xml:space="preserve">NPS Score</t>
  </si>
  <si>
    <t xml:space="preserve">CAC ($)</t>
  </si>
  <si>
    <t xml:space="preserve">LTV ($)</t>
  </si>
  <si>
    <t xml:space="preserve">CSAT Score</t>
  </si>
  <si>
    <t xml:space="preserve">Jan-24</t>
  </si>
  <si>
    <t xml:space="preserve">Q1 2024</t>
  </si>
  <si>
    <t xml:space="preserve">Feb-24</t>
  </si>
  <si>
    <t xml:space="preserve">Mar-24</t>
  </si>
  <si>
    <t xml:space="preserve">Apr-24</t>
  </si>
  <si>
    <t xml:space="preserve">Q2 2024</t>
  </si>
  <si>
    <t xml:space="preserve">May-24</t>
  </si>
  <si>
    <t xml:space="preserve">Jun-24</t>
  </si>
  <si>
    <t xml:space="preserve">Jul-24</t>
  </si>
  <si>
    <t xml:space="preserve">Q3 2024</t>
  </si>
  <si>
    <t xml:space="preserve">Aug-24</t>
  </si>
  <si>
    <t xml:space="preserve">Sep-24</t>
  </si>
  <si>
    <t xml:space="preserve">Oct-24</t>
  </si>
  <si>
    <t xml:space="preserve">Q4 2024</t>
  </si>
  <si>
    <t xml:space="preserve">Nov-24</t>
  </si>
  <si>
    <t xml:space="preserve">Dec-24</t>
  </si>
  <si>
    <t xml:space="preserve">NovaSaaS — SaaS Operations KPI Dashboard  |  FY 2024</t>
  </si>
  <si>
    <t xml:space="preserve">All figures based on FY 2024 monthly actuals. Benchmarks sourced from OpenView SaaS Benchmarks 2024.</t>
  </si>
  <si>
    <t xml:space="preserve">Annual Recurring Revenue</t>
  </si>
  <si>
    <t xml:space="preserve">MRR (Dec-24)</t>
  </si>
  <si>
    <t xml:space="preserve">Net Revenue Retention</t>
  </si>
  <si>
    <t xml:space="preserve">vs Jan-24</t>
  </si>
  <si>
    <t xml:space="preserve">MoM growth</t>
  </si>
  <si>
    <t xml:space="preserve">benchmark: &gt;110%</t>
  </si>
  <si>
    <t xml:space="preserve">Avg NPS Score</t>
  </si>
  <si>
    <t xml:space="preserve">CAC Payback (mo.)</t>
  </si>
  <si>
    <t xml:space="preserve">LTV:CAC Ratio</t>
  </si>
  <si>
    <t xml:space="preserve">Gross Churn Rate</t>
  </si>
  <si>
    <t xml:space="preserve">benchmark: 40–60</t>
  </si>
  <si>
    <t xml:space="preserve">benchmark: &lt;18mo</t>
  </si>
  <si>
    <t xml:space="preserve">benchmark: &gt;3x</t>
  </si>
  <si>
    <t xml:space="preserve">benchmark: &lt;10%</t>
  </si>
  <si>
    <t xml:space="preserve">Monthly Trends</t>
  </si>
  <si>
    <t xml:space="preserve">MRR Trend — Monthly ($)</t>
  </si>
  <si>
    <t xml:space="preserve">Customer Cohort — Q1 to Q4 2024</t>
  </si>
  <si>
    <t xml:space="preserve">MRR</t>
  </si>
  <si>
    <t xml:space="preserve">MoM Δ</t>
  </si>
  <si>
    <t xml:space="preserve">NPS</t>
  </si>
  <si>
    <t xml:space="preserve">New Cust.</t>
  </si>
  <si>
    <t xml:space="preserve">Churned</t>
  </si>
  <si>
    <t xml:space="preserve">Net Add</t>
  </si>
  <si>
    <t xml:space="preserve">—</t>
  </si>
  <si>
    <t xml:space="preserve">ARR (Dec-24)</t>
  </si>
  <si>
    <t xml:space="preserve">ARR vs Jan-24</t>
  </si>
  <si>
    <t xml:space="preserve">MRR Dec-24</t>
  </si>
  <si>
    <t xml:space="preserve">MRR MoM Growth</t>
  </si>
  <si>
    <t xml:space="preserve">Active Customers Dec-24</t>
  </si>
  <si>
    <t xml:space="preserve">Customer Growth vs Jan-24</t>
  </si>
  <si>
    <t xml:space="preserve">NRR vs 110% benchmark</t>
  </si>
  <si>
    <t xml:space="preserve">Avg NPS (Full Year)</t>
  </si>
  <si>
    <t xml:space="preserve">NPS vs 50 benchmark</t>
  </si>
  <si>
    <t xml:space="preserve">CAC Payback (months)</t>
  </si>
  <si>
    <t xml:space="preserve">Payback vs 18mo benchmark</t>
  </si>
  <si>
    <t xml:space="preserve">LTV:CAC vs 3x benchmark</t>
  </si>
  <si>
    <t xml:space="preserve">Gross Annual Churn Rate</t>
  </si>
  <si>
    <t xml:space="preserve">Churn vs 10% benchmark</t>
  </si>
  <si>
    <t xml:space="preserve">New ARR</t>
  </si>
  <si>
    <t xml:space="preserve">Churn ARR</t>
  </si>
  <si>
    <t xml:space="preserve">Customers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</si>
</sst>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"/>
    <numFmt numFmtId="167" formatCode="\$#,##0"/>
    <numFmt numFmtId="168" formatCode="#,##0"/>
    <numFmt numFmtId="169" formatCode="0.0%"/>
    <numFmt numFmtId="170" formatCode="0.00"/>
    <numFmt numFmtId="171" formatCode="0.0%;\(0.0%\);\-"/>
    <numFmt numFmtId="172" formatCode="\$#,##0"/>
    <numFmt numFmtId="173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sz val="8"/>
      <color rgb="FFAAAAAA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9"/>
      <color rgb="FFFFC000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E3D6E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  <fill>
      <patternFill patternType="solid">
        <fgColor rgb="FF0A2D5E"/>
        <bgColor rgb="FF0E3D6E"/>
      </patternFill>
    </fill>
    <fill>
      <patternFill patternType="solid">
        <fgColor rgb="FF0E3D6E"/>
        <bgColor rgb="FF0A2D5E"/>
      </patternFill>
    </fill>
    <fill>
      <patternFill patternType="solid">
        <fgColor rgb="FF2E75B6"/>
        <bgColor rgb="FF4A7EBB"/>
      </patternFill>
    </fill>
    <fill>
      <patternFill patternType="solid">
        <fgColor rgb="FFF2F2F2"/>
        <bgColor rgb="FFF9F9F9"/>
      </patternFill>
    </fill>
    <fill>
      <patternFill patternType="solid">
        <fgColor rgb="FFDAE3F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88888"/>
      <rgbColor rgb="FF800080"/>
      <rgbColor rgb="FF008080"/>
      <rgbColor rgb="FFCCCCCC"/>
      <rgbColor rgb="FF878787"/>
      <rgbColor rgb="FFAAAAAA"/>
      <rgbColor rgb="FFC0504D"/>
      <rgbColor rgb="FFF9F9F9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4A7EBB"/>
      <rgbColor rgb="FF999999"/>
      <rgbColor rgb="FF0A2D5E"/>
      <rgbColor rgb="FF4F81BD"/>
      <rgbColor rgb="FF003300"/>
      <rgbColor rgb="FF333300"/>
      <rgbColor rgb="FF993300"/>
      <rgbColor rgb="FF993366"/>
      <rgbColor rgb="FF1F4E79"/>
      <rgbColor rgb="FF0E3D6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Recurring Revenue (MRR) — FY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</c:f>
              <c:strCache>
                <c:ptCount val="1"/>
                <c:pt idx="0">
                  <c:v>MRR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Charts!$B$2:$B$13</c:f>
              <c:numCache>
                <c:formatCode>\$#,##0;"($"#,##0\);\-</c:formatCode>
                <c:ptCount val="12"/>
                <c:pt idx="0">
                  <c:v>891805</c:v>
                </c:pt>
                <c:pt idx="1">
                  <c:v>920886</c:v>
                </c:pt>
                <c:pt idx="2">
                  <c:v>968293</c:v>
                </c:pt>
                <c:pt idx="3">
                  <c:v>1009618</c:v>
                </c:pt>
                <c:pt idx="4">
                  <c:v>1058193</c:v>
                </c:pt>
                <c:pt idx="5">
                  <c:v>1109574</c:v>
                </c:pt>
                <c:pt idx="6">
                  <c:v>1171333</c:v>
                </c:pt>
                <c:pt idx="7">
                  <c:v>1231135</c:v>
                </c:pt>
                <c:pt idx="8">
                  <c:v>1291706</c:v>
                </c:pt>
                <c:pt idx="9">
                  <c:v>1333022</c:v>
                </c:pt>
                <c:pt idx="10">
                  <c:v>1382876</c:v>
                </c:pt>
                <c:pt idx="11">
                  <c:v>1430101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31558"/>
        <c:axId val="22922877"/>
      </c:lineChart>
      <c:catAx>
        <c:axId val="77315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22877"/>
        <c:crosses val="autoZero"/>
        <c:auto val="1"/>
        <c:lblAlgn val="ctr"/>
        <c:lblOffset val="100"/>
        <c:noMultiLvlLbl val="0"/>
      </c:catAx>
      <c:valAx>
        <c:axId val="22922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1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ARR Movement — New vs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Charts!C1</c:f>
              <c:strCache>
                <c:ptCount val="1"/>
                <c:pt idx="0">
                  <c:v>New ARR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Charts!$C$2:$C$13</c:f>
              <c:numCache>
                <c:formatCode>\$#,##0;"($"#,##0\);\-</c:formatCode>
                <c:ptCount val="12"/>
                <c:pt idx="0">
                  <c:v>88278</c:v>
                </c:pt>
                <c:pt idx="1">
                  <c:v>140302</c:v>
                </c:pt>
                <c:pt idx="2">
                  <c:v>156426</c:v>
                </c:pt>
                <c:pt idx="3">
                  <c:v>121421</c:v>
                </c:pt>
                <c:pt idx="4">
                  <c:v>90695</c:v>
                </c:pt>
                <c:pt idx="5">
                  <c:v>132400</c:v>
                </c:pt>
                <c:pt idx="6">
                  <c:v>98238</c:v>
                </c:pt>
                <c:pt idx="7">
                  <c:v>94358</c:v>
                </c:pt>
                <c:pt idx="8">
                  <c:v>158000</c:v>
                </c:pt>
                <c:pt idx="9">
                  <c:v>159341</c:v>
                </c:pt>
                <c:pt idx="10">
                  <c:v>158579</c:v>
                </c:pt>
                <c:pt idx="11">
                  <c:v>149686</c:v>
                </c:pt>
              </c:numCache>
            </c:numRef>
          </c:val>
        </c:ser>
        <c:ser>
          <c:idx val="1"/>
          <c:order val="1"/>
          <c:tx>
            <c:strRef>
              <c:f>Charts!D1</c:f>
              <c:strCache>
                <c:ptCount val="1"/>
                <c:pt idx="0">
                  <c:v>Churn ARR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Charts!$D$2:$D$13</c:f>
              <c:numCache>
                <c:formatCode>\$#,##0;"($"#,##0\);\-</c:formatCode>
                <c:ptCount val="12"/>
                <c:pt idx="0">
                  <c:v>42299</c:v>
                </c:pt>
                <c:pt idx="1">
                  <c:v>19041</c:v>
                </c:pt>
                <c:pt idx="2">
                  <c:v>31746</c:v>
                </c:pt>
                <c:pt idx="3">
                  <c:v>23094</c:v>
                </c:pt>
                <c:pt idx="4">
                  <c:v>41911</c:v>
                </c:pt>
                <c:pt idx="5">
                  <c:v>36918</c:v>
                </c:pt>
                <c:pt idx="6">
                  <c:v>30455</c:v>
                </c:pt>
                <c:pt idx="7">
                  <c:v>37960</c:v>
                </c:pt>
                <c:pt idx="8">
                  <c:v>25196</c:v>
                </c:pt>
                <c:pt idx="9">
                  <c:v>41524</c:v>
                </c:pt>
                <c:pt idx="10">
                  <c:v>35661</c:v>
                </c:pt>
                <c:pt idx="11">
                  <c:v>20978</c:v>
                </c:pt>
              </c:numCache>
            </c:numRef>
          </c:val>
        </c:ser>
        <c:gapWidth val="150"/>
        <c:overlap val="0"/>
        <c:axId val="11736858"/>
        <c:axId val="63930322"/>
      </c:barChart>
      <c:catAx>
        <c:axId val="117368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30322"/>
        <c:crosses val="autoZero"/>
        <c:auto val="1"/>
        <c:lblAlgn val="ctr"/>
        <c:lblOffset val="100"/>
        <c:noMultiLvlLbl val="0"/>
      </c:catAx>
      <c:valAx>
        <c:axId val="63930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36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NPS Score Trend — FY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Charts!E1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Charts!$E$2:$E$13</c:f>
              <c:numCache>
                <c:formatCode>General</c:formatCode>
                <c:ptCount val="12"/>
                <c:pt idx="0">
                  <c:v>46</c:v>
                </c:pt>
                <c:pt idx="1">
                  <c:v>49</c:v>
                </c:pt>
                <c:pt idx="2">
                  <c:v>67</c:v>
                </c:pt>
                <c:pt idx="3">
                  <c:v>44</c:v>
                </c:pt>
                <c:pt idx="4">
                  <c:v>54</c:v>
                </c:pt>
                <c:pt idx="5">
                  <c:v>63</c:v>
                </c:pt>
                <c:pt idx="6">
                  <c:v>47</c:v>
                </c:pt>
                <c:pt idx="7">
                  <c:v>47</c:v>
                </c:pt>
                <c:pt idx="8">
                  <c:v>68</c:v>
                </c:pt>
                <c:pt idx="9">
                  <c:v>54</c:v>
                </c:pt>
                <c:pt idx="10">
                  <c:v>60</c:v>
                </c:pt>
                <c:pt idx="11">
                  <c:v>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818873"/>
        <c:axId val="99700211"/>
      </c:lineChart>
      <c:catAx>
        <c:axId val="958188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00211"/>
        <c:crosses val="autoZero"/>
        <c:auto val="1"/>
        <c:lblAlgn val="ctr"/>
        <c:lblOffset val="100"/>
        <c:noMultiLvlLbl val="0"/>
      </c:catAx>
      <c:valAx>
        <c:axId val="99700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18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Customer Count — FY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Charts!F1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Charts!$F$2:$F$13</c:f>
              <c:numCache>
                <c:formatCode>General</c:formatCode>
                <c:ptCount val="12"/>
                <c:pt idx="0">
                  <c:v>438</c:v>
                </c:pt>
                <c:pt idx="1">
                  <c:v>451</c:v>
                </c:pt>
                <c:pt idx="2">
                  <c:v>475</c:v>
                </c:pt>
                <c:pt idx="3">
                  <c:v>498</c:v>
                </c:pt>
                <c:pt idx="4">
                  <c:v>528</c:v>
                </c:pt>
                <c:pt idx="5">
                  <c:v>544</c:v>
                </c:pt>
                <c:pt idx="6">
                  <c:v>567</c:v>
                </c:pt>
                <c:pt idx="7">
                  <c:v>595</c:v>
                </c:pt>
                <c:pt idx="8">
                  <c:v>607</c:v>
                </c:pt>
                <c:pt idx="9">
                  <c:v>620</c:v>
                </c:pt>
                <c:pt idx="10">
                  <c:v>646</c:v>
                </c:pt>
                <c:pt idx="11">
                  <c:v>661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680351"/>
        <c:axId val="79314423"/>
      </c:lineChart>
      <c:catAx>
        <c:axId val="456803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14423"/>
        <c:crosses val="autoZero"/>
        <c:auto val="1"/>
        <c:lblAlgn val="ctr"/>
        <c:lblOffset val="100"/>
        <c:noMultiLvlLbl val="0"/>
      </c:catAx>
      <c:valAx>
        <c:axId val="79314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80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0</xdr:rowOff>
    </xdr:from>
    <xdr:to>
      <xdr:col>8</xdr:col>
      <xdr:colOff>1011960</xdr:colOff>
      <xdr:row>59</xdr:row>
      <xdr:rowOff>128160</xdr:rowOff>
    </xdr:to>
    <xdr:graphicFrame>
      <xdr:nvGraphicFramePr>
        <xdr:cNvPr id="0" name="Chart 1"/>
        <xdr:cNvGraphicFramePr/>
      </xdr:nvGraphicFramePr>
      <xdr:xfrm>
        <a:off x="141120" y="699120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37</xdr:row>
      <xdr:rowOff>0</xdr:rowOff>
    </xdr:from>
    <xdr:to>
      <xdr:col>16</xdr:col>
      <xdr:colOff>209880</xdr:colOff>
      <xdr:row>59</xdr:row>
      <xdr:rowOff>128160</xdr:rowOff>
    </xdr:to>
    <xdr:graphicFrame>
      <xdr:nvGraphicFramePr>
        <xdr:cNvPr id="1" name="Chart 2"/>
        <xdr:cNvGraphicFramePr/>
      </xdr:nvGraphicFramePr>
      <xdr:xfrm>
        <a:off x="4793040" y="699120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8</xdr:col>
      <xdr:colOff>1011960</xdr:colOff>
      <xdr:row>72</xdr:row>
      <xdr:rowOff>170280</xdr:rowOff>
    </xdr:to>
    <xdr:graphicFrame>
      <xdr:nvGraphicFramePr>
        <xdr:cNvPr id="2" name="Chart 3"/>
        <xdr:cNvGraphicFramePr/>
      </xdr:nvGraphicFramePr>
      <xdr:xfrm>
        <a:off x="141120" y="10229760"/>
        <a:ext cx="79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54</xdr:row>
      <xdr:rowOff>0</xdr:rowOff>
    </xdr:from>
    <xdr:to>
      <xdr:col>16</xdr:col>
      <xdr:colOff>209880</xdr:colOff>
      <xdr:row>72</xdr:row>
      <xdr:rowOff>170280</xdr:rowOff>
    </xdr:to>
    <xdr:graphicFrame>
      <xdr:nvGraphicFramePr>
        <xdr:cNvPr id="3" name="Chart 4"/>
        <xdr:cNvGraphicFramePr/>
      </xdr:nvGraphicFramePr>
      <xdr:xfrm>
        <a:off x="4793040" y="10229760"/>
        <a:ext cx="79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13" min="4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4" t="n">
        <v>891805</v>
      </c>
      <c r="D2" s="4" t="n">
        <v>88278</v>
      </c>
      <c r="E2" s="4" t="n">
        <v>42299</v>
      </c>
      <c r="F2" s="4" t="n">
        <v>40024</v>
      </c>
      <c r="G2" s="5" t="n">
        <v>438</v>
      </c>
      <c r="H2" s="5" t="n">
        <v>25</v>
      </c>
      <c r="I2" s="5" t="n">
        <v>7</v>
      </c>
      <c r="J2" s="5" t="n">
        <v>46</v>
      </c>
      <c r="K2" s="4" t="n">
        <v>4009</v>
      </c>
      <c r="L2" s="4" t="n">
        <v>24280</v>
      </c>
      <c r="M2" s="6" t="n">
        <v>4.6</v>
      </c>
    </row>
    <row r="3" customFormat="false" ht="15" hidden="false" customHeight="true" outlineLevel="0" collapsed="false">
      <c r="A3" s="7" t="s">
        <v>15</v>
      </c>
      <c r="B3" s="7" t="s">
        <v>14</v>
      </c>
      <c r="C3" s="8" t="n">
        <v>920886</v>
      </c>
      <c r="D3" s="8" t="n">
        <v>140302</v>
      </c>
      <c r="E3" s="8" t="n">
        <v>19041</v>
      </c>
      <c r="F3" s="8" t="n">
        <v>23952</v>
      </c>
      <c r="G3" s="9" t="n">
        <v>451</v>
      </c>
      <c r="H3" s="9" t="n">
        <v>20</v>
      </c>
      <c r="I3" s="9" t="n">
        <v>7</v>
      </c>
      <c r="J3" s="9" t="n">
        <v>49</v>
      </c>
      <c r="K3" s="8" t="n">
        <v>4834</v>
      </c>
      <c r="L3" s="8" t="n">
        <v>28446</v>
      </c>
      <c r="M3" s="10" t="n">
        <v>4.4</v>
      </c>
    </row>
    <row r="4" customFormat="false" ht="15" hidden="false" customHeight="true" outlineLevel="0" collapsed="false">
      <c r="A4" s="3" t="s">
        <v>16</v>
      </c>
      <c r="B4" s="3" t="s">
        <v>14</v>
      </c>
      <c r="C4" s="4" t="n">
        <v>968293</v>
      </c>
      <c r="D4" s="4" t="n">
        <v>156426</v>
      </c>
      <c r="E4" s="4" t="n">
        <v>31746</v>
      </c>
      <c r="F4" s="4" t="n">
        <v>36446</v>
      </c>
      <c r="G4" s="5" t="n">
        <v>475</v>
      </c>
      <c r="H4" s="5" t="n">
        <v>32</v>
      </c>
      <c r="I4" s="5" t="n">
        <v>8</v>
      </c>
      <c r="J4" s="5" t="n">
        <v>67</v>
      </c>
      <c r="K4" s="4" t="n">
        <v>3813</v>
      </c>
      <c r="L4" s="4" t="n">
        <v>23813</v>
      </c>
      <c r="M4" s="6" t="n">
        <v>4.2</v>
      </c>
    </row>
    <row r="5" customFormat="false" ht="15" hidden="false" customHeight="true" outlineLevel="0" collapsed="false">
      <c r="A5" s="7" t="s">
        <v>17</v>
      </c>
      <c r="B5" s="7" t="s">
        <v>18</v>
      </c>
      <c r="C5" s="8" t="n">
        <v>1009618</v>
      </c>
      <c r="D5" s="8" t="n">
        <v>121421</v>
      </c>
      <c r="E5" s="8" t="n">
        <v>23094</v>
      </c>
      <c r="F5" s="8" t="n">
        <v>36110</v>
      </c>
      <c r="G5" s="9" t="n">
        <v>498</v>
      </c>
      <c r="H5" s="9" t="n">
        <v>28</v>
      </c>
      <c r="I5" s="9" t="n">
        <v>5</v>
      </c>
      <c r="J5" s="9" t="n">
        <v>44</v>
      </c>
      <c r="K5" s="8" t="n">
        <v>4578</v>
      </c>
      <c r="L5" s="8" t="n">
        <v>21619</v>
      </c>
      <c r="M5" s="10" t="n">
        <v>4.6</v>
      </c>
    </row>
    <row r="6" customFormat="false" ht="15" hidden="false" customHeight="true" outlineLevel="0" collapsed="false">
      <c r="A6" s="3" t="s">
        <v>19</v>
      </c>
      <c r="B6" s="3" t="s">
        <v>18</v>
      </c>
      <c r="C6" s="4" t="n">
        <v>1058193</v>
      </c>
      <c r="D6" s="4" t="n">
        <v>90695</v>
      </c>
      <c r="E6" s="4" t="n">
        <v>41911</v>
      </c>
      <c r="F6" s="4" t="n">
        <v>52108</v>
      </c>
      <c r="G6" s="5" t="n">
        <v>528</v>
      </c>
      <c r="H6" s="5" t="n">
        <v>35</v>
      </c>
      <c r="I6" s="5" t="n">
        <v>5</v>
      </c>
      <c r="J6" s="5" t="n">
        <v>54</v>
      </c>
      <c r="K6" s="4" t="n">
        <v>3961</v>
      </c>
      <c r="L6" s="4" t="n">
        <v>22854</v>
      </c>
      <c r="M6" s="6" t="n">
        <v>4.6</v>
      </c>
    </row>
    <row r="7" customFormat="false" ht="15" hidden="false" customHeight="true" outlineLevel="0" collapsed="false">
      <c r="A7" s="7" t="s">
        <v>20</v>
      </c>
      <c r="B7" s="7" t="s">
        <v>18</v>
      </c>
      <c r="C7" s="8" t="n">
        <v>1109574</v>
      </c>
      <c r="D7" s="8" t="n">
        <v>132400</v>
      </c>
      <c r="E7" s="8" t="n">
        <v>36918</v>
      </c>
      <c r="F7" s="8" t="n">
        <v>34601</v>
      </c>
      <c r="G7" s="9" t="n">
        <v>544</v>
      </c>
      <c r="H7" s="9" t="n">
        <v>20</v>
      </c>
      <c r="I7" s="9" t="n">
        <v>4</v>
      </c>
      <c r="J7" s="9" t="n">
        <v>63</v>
      </c>
      <c r="K7" s="8" t="n">
        <v>4266</v>
      </c>
      <c r="L7" s="8" t="n">
        <v>26782</v>
      </c>
      <c r="M7" s="10" t="n">
        <v>4.7</v>
      </c>
    </row>
    <row r="8" customFormat="false" ht="15" hidden="false" customHeight="true" outlineLevel="0" collapsed="false">
      <c r="A8" s="3" t="s">
        <v>21</v>
      </c>
      <c r="B8" s="3" t="s">
        <v>22</v>
      </c>
      <c r="C8" s="4" t="n">
        <v>1171333</v>
      </c>
      <c r="D8" s="4" t="n">
        <v>98238</v>
      </c>
      <c r="E8" s="4" t="n">
        <v>30455</v>
      </c>
      <c r="F8" s="4" t="n">
        <v>40217</v>
      </c>
      <c r="G8" s="5" t="n">
        <v>567</v>
      </c>
      <c r="H8" s="5" t="n">
        <v>32</v>
      </c>
      <c r="I8" s="5" t="n">
        <v>9</v>
      </c>
      <c r="J8" s="5" t="n">
        <v>47</v>
      </c>
      <c r="K8" s="4" t="n">
        <v>4558</v>
      </c>
      <c r="L8" s="4" t="n">
        <v>24235</v>
      </c>
      <c r="M8" s="6" t="n">
        <v>4.5</v>
      </c>
    </row>
    <row r="9" customFormat="false" ht="15" hidden="false" customHeight="true" outlineLevel="0" collapsed="false">
      <c r="A9" s="7" t="s">
        <v>23</v>
      </c>
      <c r="B9" s="7" t="s">
        <v>22</v>
      </c>
      <c r="C9" s="8" t="n">
        <v>1231135</v>
      </c>
      <c r="D9" s="8" t="n">
        <v>94358</v>
      </c>
      <c r="E9" s="8" t="n">
        <v>37960</v>
      </c>
      <c r="F9" s="8" t="n">
        <v>33215</v>
      </c>
      <c r="G9" s="9" t="n">
        <v>595</v>
      </c>
      <c r="H9" s="9" t="n">
        <v>35</v>
      </c>
      <c r="I9" s="9" t="n">
        <v>7</v>
      </c>
      <c r="J9" s="9" t="n">
        <v>47</v>
      </c>
      <c r="K9" s="8" t="n">
        <v>4746</v>
      </c>
      <c r="L9" s="8" t="n">
        <v>25499</v>
      </c>
      <c r="M9" s="10" t="n">
        <v>4.7</v>
      </c>
    </row>
    <row r="10" customFormat="false" ht="15" hidden="false" customHeight="true" outlineLevel="0" collapsed="false">
      <c r="A10" s="3" t="s">
        <v>24</v>
      </c>
      <c r="B10" s="3" t="s">
        <v>22</v>
      </c>
      <c r="C10" s="4" t="n">
        <v>1291706</v>
      </c>
      <c r="D10" s="4" t="n">
        <v>158000</v>
      </c>
      <c r="E10" s="4" t="n">
        <v>25196</v>
      </c>
      <c r="F10" s="4" t="n">
        <v>43252</v>
      </c>
      <c r="G10" s="5" t="n">
        <v>607</v>
      </c>
      <c r="H10" s="5" t="n">
        <v>19</v>
      </c>
      <c r="I10" s="5" t="n">
        <v>7</v>
      </c>
      <c r="J10" s="5" t="n">
        <v>68</v>
      </c>
      <c r="K10" s="4" t="n">
        <v>3865</v>
      </c>
      <c r="L10" s="4" t="n">
        <v>24549</v>
      </c>
      <c r="M10" s="6" t="n">
        <v>4.3</v>
      </c>
    </row>
    <row r="11" customFormat="false" ht="15" hidden="false" customHeight="true" outlineLevel="0" collapsed="false">
      <c r="A11" s="7" t="s">
        <v>25</v>
      </c>
      <c r="B11" s="7" t="s">
        <v>26</v>
      </c>
      <c r="C11" s="8" t="n">
        <v>1333022</v>
      </c>
      <c r="D11" s="8" t="n">
        <v>159341</v>
      </c>
      <c r="E11" s="8" t="n">
        <v>41524</v>
      </c>
      <c r="F11" s="8" t="n">
        <v>42622</v>
      </c>
      <c r="G11" s="9" t="n">
        <v>620</v>
      </c>
      <c r="H11" s="9" t="n">
        <v>24</v>
      </c>
      <c r="I11" s="9" t="n">
        <v>11</v>
      </c>
      <c r="J11" s="9" t="n">
        <v>54</v>
      </c>
      <c r="K11" s="8" t="n">
        <v>5116</v>
      </c>
      <c r="L11" s="8" t="n">
        <v>28421</v>
      </c>
      <c r="M11" s="10" t="n">
        <v>4.3</v>
      </c>
    </row>
    <row r="12" customFormat="false" ht="15" hidden="false" customHeight="true" outlineLevel="0" collapsed="false">
      <c r="A12" s="3" t="s">
        <v>27</v>
      </c>
      <c r="B12" s="3" t="s">
        <v>26</v>
      </c>
      <c r="C12" s="4" t="n">
        <v>1382876</v>
      </c>
      <c r="D12" s="4" t="n">
        <v>158579</v>
      </c>
      <c r="E12" s="4" t="n">
        <v>35661</v>
      </c>
      <c r="F12" s="4" t="n">
        <v>39219</v>
      </c>
      <c r="G12" s="5" t="n">
        <v>646</v>
      </c>
      <c r="H12" s="5" t="n">
        <v>36</v>
      </c>
      <c r="I12" s="5" t="n">
        <v>10</v>
      </c>
      <c r="J12" s="5" t="n">
        <v>60</v>
      </c>
      <c r="K12" s="4" t="n">
        <v>4617</v>
      </c>
      <c r="L12" s="4" t="n">
        <v>24621</v>
      </c>
      <c r="M12" s="6" t="n">
        <v>4.7</v>
      </c>
    </row>
    <row r="13" customFormat="false" ht="15" hidden="false" customHeight="true" outlineLevel="0" collapsed="false">
      <c r="A13" s="7" t="s">
        <v>28</v>
      </c>
      <c r="B13" s="7" t="s">
        <v>26</v>
      </c>
      <c r="C13" s="8" t="n">
        <v>1430101</v>
      </c>
      <c r="D13" s="8" t="n">
        <v>149686</v>
      </c>
      <c r="E13" s="8" t="n">
        <v>20978</v>
      </c>
      <c r="F13" s="8" t="n">
        <v>25087</v>
      </c>
      <c r="G13" s="9" t="n">
        <v>661</v>
      </c>
      <c r="H13" s="9" t="n">
        <v>21</v>
      </c>
      <c r="I13" s="9" t="n">
        <v>6</v>
      </c>
      <c r="J13" s="9" t="n">
        <v>62</v>
      </c>
      <c r="K13" s="8" t="n">
        <v>4127</v>
      </c>
      <c r="L13" s="8" t="n">
        <v>26090</v>
      </c>
      <c r="M13" s="10" t="n">
        <v>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5" min="2" style="1" width="16"/>
    <col collapsed="false" customWidth="true" hidden="false" outlineLevel="0" max="6" min="6" style="1" width="2"/>
    <col collapsed="false" customWidth="true" hidden="false" outlineLevel="0" max="10" min="7" style="1" width="16"/>
    <col collapsed="false" customWidth="true" hidden="false" outlineLevel="0" max="11" min="11" style="1" width="2"/>
  </cols>
  <sheetData>
    <row r="1" customFormat="false" ht="13.5" hidden="false" customHeight="true" outlineLevel="0" collapsed="false">
      <c r="B1" s="11" t="s">
        <v>29</v>
      </c>
      <c r="C1" s="11"/>
      <c r="D1" s="11"/>
      <c r="E1" s="11"/>
      <c r="F1" s="11"/>
      <c r="G1" s="11"/>
      <c r="H1" s="11"/>
      <c r="I1" s="11"/>
      <c r="J1" s="11"/>
    </row>
    <row r="2" customFormat="false" ht="13.5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</row>
    <row r="3" customFormat="false" ht="13.5" hidden="false" customHeight="true" outlineLevel="0" collapsed="false">
      <c r="B3" s="11"/>
      <c r="C3" s="11"/>
      <c r="D3" s="11"/>
      <c r="E3" s="11"/>
      <c r="F3" s="11"/>
      <c r="G3" s="11"/>
      <c r="H3" s="11"/>
      <c r="I3" s="11"/>
      <c r="J3" s="11"/>
    </row>
    <row r="4" customFormat="false" ht="15.75" hidden="false" customHeight="true" outlineLevel="0" collapsed="false">
      <c r="B4" s="12" t="s">
        <v>30</v>
      </c>
      <c r="C4" s="12"/>
      <c r="D4" s="12"/>
      <c r="E4" s="12"/>
      <c r="F4" s="12"/>
      <c r="G4" s="12"/>
      <c r="H4" s="12"/>
      <c r="I4" s="12"/>
      <c r="J4" s="12"/>
    </row>
    <row r="5" customFormat="false" ht="7.5" hidden="false" customHeight="true" outlineLevel="0" collapsed="false"/>
    <row r="6" customFormat="false" ht="13.5" hidden="false" customHeight="true" outlineLevel="0" collapsed="false">
      <c r="B6" s="13" t="s">
        <v>31</v>
      </c>
      <c r="C6" s="13"/>
      <c r="D6" s="13" t="s">
        <v>32</v>
      </c>
      <c r="E6" s="13"/>
      <c r="G6" s="13" t="s">
        <v>6</v>
      </c>
      <c r="H6" s="13"/>
      <c r="I6" s="13" t="s">
        <v>33</v>
      </c>
      <c r="J6" s="13"/>
    </row>
    <row r="7" customFormat="false" ht="13.5" hidden="false" customHeight="true" outlineLevel="0" collapsed="false">
      <c r="B7" s="14" t="n">
        <f aca="false">'KPI Calc'!B2</f>
        <v>17161212</v>
      </c>
      <c r="C7" s="14"/>
      <c r="D7" s="14" t="n">
        <f aca="false">'KPI Calc'!B5</f>
        <v>1430101</v>
      </c>
      <c r="E7" s="14"/>
      <c r="G7" s="15" t="n">
        <f aca="false">'KPI Calc'!B8</f>
        <v>661</v>
      </c>
      <c r="H7" s="15"/>
      <c r="I7" s="16" t="n">
        <f aca="false">'KPI Calc'!B11</f>
        <v>1.60360280554606</v>
      </c>
      <c r="J7" s="16"/>
    </row>
    <row r="8" customFormat="false" ht="13.5" hidden="false" customHeight="true" outlineLevel="0" collapsed="false">
      <c r="B8" s="14"/>
      <c r="C8" s="14"/>
      <c r="D8" s="14"/>
      <c r="E8" s="14"/>
      <c r="G8" s="15"/>
      <c r="H8" s="15"/>
      <c r="I8" s="16"/>
      <c r="J8" s="16"/>
    </row>
    <row r="9" customFormat="false" ht="13.5" hidden="false" customHeight="true" outlineLevel="0" collapsed="false">
      <c r="B9" s="17" t="n">
        <f aca="false">'KPI Calc'!B3</f>
        <v>6459552</v>
      </c>
      <c r="C9" s="17"/>
      <c r="D9" s="18" t="n">
        <f aca="false">'KPI Calc'!B6</f>
        <v>0.0341498442376613</v>
      </c>
      <c r="E9" s="18"/>
      <c r="G9" s="19" t="n">
        <f aca="false">'KPI Calc'!B9</f>
        <v>223</v>
      </c>
      <c r="H9" s="19"/>
      <c r="I9" s="18" t="n">
        <f aca="false">'KPI Calc'!B12</f>
        <v>0.503602805546055</v>
      </c>
      <c r="J9" s="18"/>
    </row>
    <row r="10" customFormat="false" ht="13.5" hidden="false" customHeight="true" outlineLevel="0" collapsed="false">
      <c r="B10" s="17"/>
      <c r="C10" s="17"/>
      <c r="D10" s="18"/>
      <c r="E10" s="18"/>
      <c r="G10" s="19"/>
      <c r="H10" s="19"/>
      <c r="I10" s="18"/>
      <c r="J10" s="18"/>
    </row>
    <row r="11" customFormat="false" ht="13.5" hidden="false" customHeight="true" outlineLevel="0" collapsed="false">
      <c r="B11" s="20" t="s">
        <v>34</v>
      </c>
      <c r="C11" s="20"/>
      <c r="D11" s="20" t="s">
        <v>35</v>
      </c>
      <c r="E11" s="20"/>
      <c r="G11" s="20" t="s">
        <v>34</v>
      </c>
      <c r="H11" s="20"/>
      <c r="I11" s="20" t="s">
        <v>36</v>
      </c>
      <c r="J11" s="20"/>
    </row>
    <row r="12" customFormat="false" ht="13.5" hidden="false" customHeight="true" outlineLevel="0" collapsed="false">
      <c r="B12" s="20"/>
      <c r="C12" s="20"/>
      <c r="D12" s="20"/>
      <c r="E12" s="20"/>
      <c r="G12" s="20"/>
      <c r="H12" s="20"/>
      <c r="I12" s="20"/>
      <c r="J12" s="20"/>
    </row>
    <row r="13" customFormat="false" ht="9.75" hidden="false" customHeight="true" outlineLevel="0" collapsed="false"/>
    <row r="14" customFormat="false" ht="13.5" hidden="false" customHeight="true" outlineLevel="0" collapsed="false">
      <c r="B14" s="21" t="s">
        <v>37</v>
      </c>
      <c r="C14" s="21"/>
      <c r="D14" s="21" t="s">
        <v>38</v>
      </c>
      <c r="E14" s="21"/>
      <c r="G14" s="21" t="s">
        <v>39</v>
      </c>
      <c r="H14" s="21"/>
      <c r="I14" s="21" t="s">
        <v>40</v>
      </c>
      <c r="J14" s="21"/>
    </row>
    <row r="15" customFormat="false" ht="13.5" hidden="false" customHeight="true" outlineLevel="0" collapsed="false">
      <c r="B15" s="22" t="n">
        <f aca="false">'KPI Calc'!B14</f>
        <v>55.0833333333333</v>
      </c>
      <c r="C15" s="22"/>
      <c r="D15" s="22" t="n">
        <f aca="false">'KPI Calc'!B17</f>
        <v>1.68989958284998</v>
      </c>
      <c r="E15" s="22"/>
      <c r="G15" s="23" t="n">
        <f aca="false">'KPI Calc'!B20</f>
        <v>5.73840731567918</v>
      </c>
      <c r="H15" s="23"/>
      <c r="I15" s="24" t="n">
        <f aca="false">'KPI Calc'!B23</f>
        <v>0.0361423367963475</v>
      </c>
      <c r="J15" s="24"/>
    </row>
    <row r="16" customFormat="false" ht="13.5" hidden="false" customHeight="true" outlineLevel="0" collapsed="false">
      <c r="B16" s="22"/>
      <c r="C16" s="22"/>
      <c r="D16" s="22"/>
      <c r="E16" s="22"/>
      <c r="G16" s="23"/>
      <c r="H16" s="23"/>
      <c r="I16" s="24"/>
      <c r="J16" s="24"/>
    </row>
    <row r="17" customFormat="false" ht="13.5" hidden="false" customHeight="true" outlineLevel="0" collapsed="false">
      <c r="B17" s="25" t="n">
        <f aca="false">'KPI Calc'!B15</f>
        <v>5.08333333333334</v>
      </c>
      <c r="C17" s="25"/>
      <c r="D17" s="25" t="n">
        <f aca="false">'KPI Calc'!B18</f>
        <v>-16.31010041715</v>
      </c>
      <c r="E17" s="25"/>
      <c r="G17" s="26" t="n">
        <f aca="false">'KPI Calc'!B21</f>
        <v>2.73840731567918</v>
      </c>
      <c r="H17" s="26"/>
      <c r="I17" s="27" t="n">
        <f aca="false">'KPI Calc'!B24</f>
        <v>-0.0638576632036525</v>
      </c>
      <c r="J17" s="27"/>
    </row>
    <row r="18" customFormat="false" ht="13.5" hidden="false" customHeight="true" outlineLevel="0" collapsed="false">
      <c r="B18" s="25"/>
      <c r="C18" s="25"/>
      <c r="D18" s="25"/>
      <c r="E18" s="25"/>
      <c r="G18" s="26"/>
      <c r="H18" s="26"/>
      <c r="I18" s="27"/>
      <c r="J18" s="27"/>
    </row>
    <row r="19" customFormat="false" ht="13.5" hidden="false" customHeight="true" outlineLevel="0" collapsed="false">
      <c r="B19" s="28" t="s">
        <v>41</v>
      </c>
      <c r="C19" s="28"/>
      <c r="D19" s="28" t="s">
        <v>42</v>
      </c>
      <c r="E19" s="28"/>
      <c r="G19" s="28" t="s">
        <v>43</v>
      </c>
      <c r="H19" s="28"/>
      <c r="I19" s="28" t="s">
        <v>44</v>
      </c>
      <c r="J19" s="28"/>
    </row>
    <row r="20" customFormat="false" ht="13.5" hidden="false" customHeight="true" outlineLevel="0" collapsed="false">
      <c r="B20" s="28"/>
      <c r="C20" s="28"/>
      <c r="D20" s="28"/>
      <c r="E20" s="28"/>
      <c r="G20" s="28"/>
      <c r="H20" s="28"/>
      <c r="I20" s="28"/>
      <c r="J20" s="28"/>
    </row>
    <row r="21" customFormat="false" ht="12" hidden="false" customHeight="true" outlineLevel="0" collapsed="false"/>
    <row r="22" customFormat="false" ht="18" hidden="false" customHeight="true" outlineLevel="0" collapsed="false">
      <c r="B22" s="29" t="s">
        <v>45</v>
      </c>
      <c r="C22" s="29"/>
      <c r="D22" s="29"/>
      <c r="E22" s="29"/>
      <c r="F22" s="29"/>
      <c r="G22" s="29"/>
      <c r="H22" s="29"/>
      <c r="I22" s="29"/>
      <c r="J22" s="29"/>
    </row>
    <row r="23" customFormat="false" ht="15" hidden="false" customHeight="true" outlineLevel="0" collapsed="false">
      <c r="B23" s="30" t="s">
        <v>46</v>
      </c>
      <c r="C23" s="30"/>
      <c r="D23" s="30"/>
      <c r="E23" s="30"/>
      <c r="G23" s="30" t="s">
        <v>47</v>
      </c>
      <c r="H23" s="30"/>
      <c r="I23" s="30"/>
      <c r="J23" s="30"/>
    </row>
    <row r="24" customFormat="false" ht="15" hidden="false" customHeight="true" outlineLevel="0" collapsed="false">
      <c r="B24" s="31" t="s">
        <v>0</v>
      </c>
      <c r="C24" s="31" t="s">
        <v>48</v>
      </c>
      <c r="D24" s="31" t="s">
        <v>49</v>
      </c>
      <c r="E24" s="31" t="s">
        <v>50</v>
      </c>
      <c r="G24" s="31" t="s">
        <v>1</v>
      </c>
      <c r="H24" s="31" t="s">
        <v>51</v>
      </c>
      <c r="I24" s="31" t="s">
        <v>52</v>
      </c>
      <c r="J24" s="31" t="s">
        <v>53</v>
      </c>
    </row>
    <row r="25" customFormat="false" ht="27.75" hidden="false" customHeight="true" outlineLevel="0" collapsed="false">
      <c r="B25" s="32" t="str">
        <f aca="false">'Raw Data'!A2</f>
        <v>Jan-24</v>
      </c>
      <c r="C25" s="33" t="n">
        <f aca="false">'Raw Data'!C2</f>
        <v>891805</v>
      </c>
      <c r="D25" s="32" t="s">
        <v>54</v>
      </c>
      <c r="E25" s="32" t="n">
        <f aca="false">'Raw Data'!J2</f>
        <v>46</v>
      </c>
      <c r="G25" s="34" t="s">
        <v>14</v>
      </c>
      <c r="H25" s="35" t="n">
        <f aca="false">SUM('Raw Data'!H2:H4)</f>
        <v>77</v>
      </c>
      <c r="I25" s="35" t="n">
        <f aca="false">SUM('Raw Data'!I2:I4)</f>
        <v>22</v>
      </c>
      <c r="J25" s="35" t="n">
        <f aca="false">H25-I25</f>
        <v>55</v>
      </c>
    </row>
    <row r="26" customFormat="false" ht="12.75" hidden="false" customHeight="true" outlineLevel="0" collapsed="false">
      <c r="B26" s="36" t="str">
        <f aca="false">'Raw Data'!A3</f>
        <v>Feb-24</v>
      </c>
      <c r="C26" s="37" t="n">
        <f aca="false">'Raw Data'!C3</f>
        <v>920886</v>
      </c>
      <c r="D26" s="38" t="n">
        <f aca="false">'Raw Data'!C3/'Raw Data'!C2-1</f>
        <v>0.0326091466183751</v>
      </c>
      <c r="E26" s="36" t="n">
        <f aca="false">'Raw Data'!J3</f>
        <v>49</v>
      </c>
      <c r="G26" s="34"/>
      <c r="H26" s="39"/>
      <c r="I26" s="39"/>
      <c r="J26" s="39"/>
    </row>
    <row r="27" customFormat="false" ht="12.75" hidden="false" customHeight="true" outlineLevel="0" collapsed="false">
      <c r="B27" s="32" t="str">
        <f aca="false">'Raw Data'!A4</f>
        <v>Mar-24</v>
      </c>
      <c r="C27" s="33" t="n">
        <f aca="false">'Raw Data'!C4</f>
        <v>968293</v>
      </c>
      <c r="D27" s="40" t="n">
        <f aca="false">'Raw Data'!C4/'Raw Data'!C3-1</f>
        <v>0.0514797705687784</v>
      </c>
      <c r="E27" s="32" t="n">
        <f aca="false">'Raw Data'!J4</f>
        <v>67</v>
      </c>
      <c r="G27" s="34"/>
      <c r="H27" s="39"/>
      <c r="I27" s="39"/>
      <c r="J27" s="39"/>
    </row>
    <row r="28" customFormat="false" ht="27.75" hidden="false" customHeight="true" outlineLevel="0" collapsed="false">
      <c r="B28" s="36" t="str">
        <f aca="false">'Raw Data'!A5</f>
        <v>Apr-24</v>
      </c>
      <c r="C28" s="37" t="n">
        <f aca="false">'Raw Data'!C5</f>
        <v>1009618</v>
      </c>
      <c r="D28" s="38" t="n">
        <f aca="false">'Raw Data'!C5/'Raw Data'!C4-1</f>
        <v>0.0426781976116732</v>
      </c>
      <c r="E28" s="36" t="n">
        <f aca="false">'Raw Data'!J5</f>
        <v>44</v>
      </c>
      <c r="G28" s="34" t="s">
        <v>18</v>
      </c>
      <c r="H28" s="35" t="n">
        <f aca="false">SUM('Raw Data'!H5:H7)</f>
        <v>83</v>
      </c>
      <c r="I28" s="35" t="n">
        <f aca="false">SUM('Raw Data'!I5:I7)</f>
        <v>14</v>
      </c>
      <c r="J28" s="35" t="n">
        <f aca="false">H28-I28</f>
        <v>69</v>
      </c>
    </row>
    <row r="29" customFormat="false" ht="12.75" hidden="false" customHeight="true" outlineLevel="0" collapsed="false">
      <c r="B29" s="32" t="str">
        <f aca="false">'Raw Data'!A6</f>
        <v>May-24</v>
      </c>
      <c r="C29" s="33" t="n">
        <f aca="false">'Raw Data'!C6</f>
        <v>1058193</v>
      </c>
      <c r="D29" s="40" t="n">
        <f aca="false">'Raw Data'!C6/'Raw Data'!C5-1</f>
        <v>0.0481122563187264</v>
      </c>
      <c r="E29" s="32" t="n">
        <f aca="false">'Raw Data'!J6</f>
        <v>54</v>
      </c>
      <c r="G29" s="34"/>
      <c r="H29" s="39"/>
      <c r="I29" s="39"/>
      <c r="J29" s="39"/>
    </row>
    <row r="30" customFormat="false" ht="12.75" hidden="false" customHeight="true" outlineLevel="0" collapsed="false">
      <c r="B30" s="36" t="str">
        <f aca="false">'Raw Data'!A7</f>
        <v>Jun-24</v>
      </c>
      <c r="C30" s="37" t="n">
        <f aca="false">'Raw Data'!C7</f>
        <v>1109574</v>
      </c>
      <c r="D30" s="38" t="n">
        <f aca="false">'Raw Data'!C7/'Raw Data'!C6-1</f>
        <v>0.0485554147494833</v>
      </c>
      <c r="E30" s="36" t="n">
        <f aca="false">'Raw Data'!J7</f>
        <v>63</v>
      </c>
      <c r="G30" s="34"/>
      <c r="H30" s="39"/>
      <c r="I30" s="39"/>
      <c r="J30" s="39"/>
    </row>
    <row r="31" customFormat="false" ht="27.75" hidden="false" customHeight="true" outlineLevel="0" collapsed="false">
      <c r="B31" s="32" t="str">
        <f aca="false">'Raw Data'!A8</f>
        <v>Jul-24</v>
      </c>
      <c r="C31" s="33" t="n">
        <f aca="false">'Raw Data'!C8</f>
        <v>1171333</v>
      </c>
      <c r="D31" s="40" t="n">
        <f aca="false">'Raw Data'!C8/'Raw Data'!C7-1</f>
        <v>0.0556601001825927</v>
      </c>
      <c r="E31" s="32" t="n">
        <f aca="false">'Raw Data'!J8</f>
        <v>47</v>
      </c>
      <c r="G31" s="34" t="s">
        <v>22</v>
      </c>
      <c r="H31" s="35" t="n">
        <f aca="false">SUM('Raw Data'!H8:H10)</f>
        <v>86</v>
      </c>
      <c r="I31" s="35" t="n">
        <f aca="false">SUM('Raw Data'!I8:I10)</f>
        <v>23</v>
      </c>
      <c r="J31" s="35" t="n">
        <f aca="false">H31-I31</f>
        <v>63</v>
      </c>
    </row>
    <row r="32" customFormat="false" ht="12.75" hidden="false" customHeight="true" outlineLevel="0" collapsed="false">
      <c r="B32" s="36" t="str">
        <f aca="false">'Raw Data'!A9</f>
        <v>Aug-24</v>
      </c>
      <c r="C32" s="37" t="n">
        <f aca="false">'Raw Data'!C9</f>
        <v>1231135</v>
      </c>
      <c r="D32" s="38" t="n">
        <f aca="false">'Raw Data'!C9/'Raw Data'!C8-1</f>
        <v>0.0510546531174312</v>
      </c>
      <c r="E32" s="36" t="n">
        <f aca="false">'Raw Data'!J9</f>
        <v>47</v>
      </c>
      <c r="G32" s="34"/>
      <c r="H32" s="39"/>
      <c r="I32" s="39"/>
      <c r="J32" s="39"/>
    </row>
    <row r="33" customFormat="false" ht="12.75" hidden="false" customHeight="true" outlineLevel="0" collapsed="false">
      <c r="B33" s="32" t="str">
        <f aca="false">'Raw Data'!A10</f>
        <v>Sep-24</v>
      </c>
      <c r="C33" s="33" t="n">
        <f aca="false">'Raw Data'!C10</f>
        <v>1291706</v>
      </c>
      <c r="D33" s="40" t="n">
        <f aca="false">'Raw Data'!C10/'Raw Data'!C9-1</f>
        <v>0.0491993160782529</v>
      </c>
      <c r="E33" s="32" t="n">
        <f aca="false">'Raw Data'!J10</f>
        <v>68</v>
      </c>
      <c r="G33" s="34"/>
      <c r="H33" s="39"/>
      <c r="I33" s="39"/>
      <c r="J33" s="39"/>
    </row>
    <row r="34" customFormat="false" ht="27.75" hidden="false" customHeight="true" outlineLevel="0" collapsed="false">
      <c r="B34" s="36" t="str">
        <f aca="false">'Raw Data'!A11</f>
        <v>Oct-24</v>
      </c>
      <c r="C34" s="37" t="n">
        <f aca="false">'Raw Data'!C11</f>
        <v>1333022</v>
      </c>
      <c r="D34" s="38" t="n">
        <f aca="false">'Raw Data'!C11/'Raw Data'!C10-1</f>
        <v>0.0319856066318496</v>
      </c>
      <c r="E34" s="36" t="n">
        <f aca="false">'Raw Data'!J11</f>
        <v>54</v>
      </c>
      <c r="G34" s="34" t="s">
        <v>26</v>
      </c>
      <c r="H34" s="35" t="n">
        <f aca="false">SUM('Raw Data'!H11:H13)</f>
        <v>81</v>
      </c>
      <c r="I34" s="35" t="n">
        <f aca="false">SUM('Raw Data'!I11:I13)</f>
        <v>27</v>
      </c>
      <c r="J34" s="35" t="n">
        <f aca="false">H34-I34</f>
        <v>54</v>
      </c>
    </row>
    <row r="35" customFormat="false" ht="12.75" hidden="false" customHeight="true" outlineLevel="0" collapsed="false">
      <c r="B35" s="32" t="str">
        <f aca="false">'Raw Data'!A12</f>
        <v>Nov-24</v>
      </c>
      <c r="C35" s="33" t="n">
        <f aca="false">'Raw Data'!C12</f>
        <v>1382876</v>
      </c>
      <c r="D35" s="40" t="n">
        <f aca="false">'Raw Data'!C12/'Raw Data'!C11-1</f>
        <v>0.0373992327208403</v>
      </c>
      <c r="E35" s="32" t="n">
        <f aca="false">'Raw Data'!J12</f>
        <v>60</v>
      </c>
      <c r="G35" s="34"/>
      <c r="H35" s="39"/>
      <c r="I35" s="39"/>
      <c r="J35" s="39"/>
    </row>
    <row r="36" customFormat="false" ht="12.75" hidden="false" customHeight="true" outlineLevel="0" collapsed="false">
      <c r="B36" s="36" t="str">
        <f aca="false">'Raw Data'!A13</f>
        <v>Dec-24</v>
      </c>
      <c r="C36" s="37" t="n">
        <f aca="false">'Raw Data'!C13</f>
        <v>1430101</v>
      </c>
      <c r="D36" s="38" t="n">
        <f aca="false">'Raw Data'!C13/'Raw Data'!C12-1</f>
        <v>0.0341498442376613</v>
      </c>
      <c r="E36" s="36" t="n">
        <f aca="false">'Raw Data'!J13</f>
        <v>62</v>
      </c>
      <c r="G36" s="34"/>
      <c r="H36" s="39"/>
      <c r="I36" s="39"/>
      <c r="J36" s="39"/>
    </row>
  </sheetData>
  <mergeCells count="41">
    <mergeCell ref="B1:J3"/>
    <mergeCell ref="B4:J4"/>
    <mergeCell ref="B6:C6"/>
    <mergeCell ref="D6:E6"/>
    <mergeCell ref="G6:H6"/>
    <mergeCell ref="I6:J6"/>
    <mergeCell ref="B7:C8"/>
    <mergeCell ref="D7:E8"/>
    <mergeCell ref="G7:H8"/>
    <mergeCell ref="I7:J8"/>
    <mergeCell ref="B9:C10"/>
    <mergeCell ref="D9:E10"/>
    <mergeCell ref="G9:H10"/>
    <mergeCell ref="I9:J10"/>
    <mergeCell ref="B11:C12"/>
    <mergeCell ref="D11:E12"/>
    <mergeCell ref="G11:H12"/>
    <mergeCell ref="I11:J12"/>
    <mergeCell ref="B14:C14"/>
    <mergeCell ref="D14:E14"/>
    <mergeCell ref="G14:H14"/>
    <mergeCell ref="I14:J14"/>
    <mergeCell ref="B15:C16"/>
    <mergeCell ref="D15:E16"/>
    <mergeCell ref="G15:H16"/>
    <mergeCell ref="I15:J16"/>
    <mergeCell ref="B17:C18"/>
    <mergeCell ref="D17:E18"/>
    <mergeCell ref="G17:H18"/>
    <mergeCell ref="I17:J18"/>
    <mergeCell ref="B19:C20"/>
    <mergeCell ref="D19:E20"/>
    <mergeCell ref="G19:H20"/>
    <mergeCell ref="I19:J20"/>
    <mergeCell ref="B22:J22"/>
    <mergeCell ref="B23:E23"/>
    <mergeCell ref="G23:J23"/>
    <mergeCell ref="G25:G27"/>
    <mergeCell ref="G28:G30"/>
    <mergeCell ref="G31:G33"/>
    <mergeCell ref="G34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15" hidden="false" customHeight="true" outlineLevel="0" collapsed="false">
      <c r="A1" s="41" t="s">
        <v>55</v>
      </c>
      <c r="B1" s="42" t="n">
        <f aca="false">'Raw Data'!C13*12</f>
        <v>17161212</v>
      </c>
    </row>
    <row r="2" customFormat="false" ht="15" hidden="false" customHeight="true" outlineLevel="0" collapsed="false">
      <c r="A2" s="41" t="s">
        <v>56</v>
      </c>
      <c r="B2" s="43" t="n">
        <f aca="false">'Raw Data'!C13*12</f>
        <v>17161212</v>
      </c>
    </row>
    <row r="3" customFormat="false" ht="15" hidden="false" customHeight="true" outlineLevel="0" collapsed="false">
      <c r="A3" s="41"/>
      <c r="B3" s="44" t="n">
        <f aca="false">B2-'Raw Data'!C2*12</f>
        <v>6459552</v>
      </c>
    </row>
    <row r="4" customFormat="false" ht="15" hidden="false" customHeight="true" outlineLevel="0" collapsed="false">
      <c r="A4" s="41" t="s">
        <v>57</v>
      </c>
      <c r="B4" s="42" t="n">
        <f aca="false">'Raw Data'!C13</f>
        <v>1430101</v>
      </c>
    </row>
    <row r="5" customFormat="false" ht="15" hidden="false" customHeight="true" outlineLevel="0" collapsed="false">
      <c r="A5" s="41" t="s">
        <v>58</v>
      </c>
      <c r="B5" s="43" t="n">
        <f aca="false">'Raw Data'!C13</f>
        <v>1430101</v>
      </c>
    </row>
    <row r="6" customFormat="false" ht="15" hidden="false" customHeight="true" outlineLevel="0" collapsed="false">
      <c r="A6" s="41"/>
      <c r="B6" s="44" t="n">
        <f aca="false">'Raw Data'!C13/'Raw Data'!C12-1</f>
        <v>0.0341498442376613</v>
      </c>
    </row>
    <row r="7" customFormat="false" ht="15" hidden="false" customHeight="true" outlineLevel="0" collapsed="false">
      <c r="A7" s="41" t="s">
        <v>59</v>
      </c>
      <c r="B7" s="45" t="n">
        <f aca="false">'Raw Data'!G13</f>
        <v>661</v>
      </c>
    </row>
    <row r="8" customFormat="false" ht="15" hidden="false" customHeight="true" outlineLevel="0" collapsed="false">
      <c r="A8" s="41" t="s">
        <v>60</v>
      </c>
      <c r="B8" s="43" t="n">
        <f aca="false">'Raw Data'!G13</f>
        <v>661</v>
      </c>
    </row>
    <row r="9" customFormat="false" ht="15" hidden="false" customHeight="true" outlineLevel="0" collapsed="false">
      <c r="A9" s="41"/>
      <c r="B9" s="44" t="n">
        <f aca="false">'Raw Data'!G13-'Raw Data'!G2</f>
        <v>223</v>
      </c>
    </row>
    <row r="10" customFormat="false" ht="15" hidden="false" customHeight="true" outlineLevel="0" collapsed="false">
      <c r="A10" s="41" t="s">
        <v>33</v>
      </c>
      <c r="B10" s="46" t="n">
        <f aca="false">('Raw Data'!C13*12)/('Raw Data'!C2*12)</f>
        <v>1.60360280554606</v>
      </c>
    </row>
    <row r="11" customFormat="false" ht="15" hidden="false" customHeight="true" outlineLevel="0" collapsed="false">
      <c r="A11" s="41" t="s">
        <v>61</v>
      </c>
      <c r="B11" s="43" t="n">
        <f aca="false">('Raw Data'!C13*12)/('Raw Data'!C2*12)</f>
        <v>1.60360280554606</v>
      </c>
    </row>
    <row r="12" customFormat="false" ht="15" hidden="false" customHeight="true" outlineLevel="0" collapsed="false">
      <c r="A12" s="41"/>
      <c r="B12" s="44" t="n">
        <f aca="false">B11-1.1</f>
        <v>0.503602805546055</v>
      </c>
    </row>
    <row r="13" customFormat="false" ht="15" hidden="false" customHeight="true" outlineLevel="0" collapsed="false">
      <c r="A13" s="41" t="s">
        <v>62</v>
      </c>
      <c r="B13" s="47" t="n">
        <f aca="false">AVERAGE('Raw Data'!J2:J13)</f>
        <v>55.0833333333333</v>
      </c>
    </row>
    <row r="14" customFormat="false" ht="15" hidden="false" customHeight="true" outlineLevel="0" collapsed="false">
      <c r="A14" s="41" t="s">
        <v>63</v>
      </c>
      <c r="B14" s="43" t="n">
        <f aca="false">AVERAGE('Raw Data'!J2:J13)</f>
        <v>55.0833333333333</v>
      </c>
    </row>
    <row r="15" customFormat="false" ht="15" hidden="false" customHeight="true" outlineLevel="0" collapsed="false">
      <c r="A15" s="41"/>
      <c r="B15" s="44" t="n">
        <f aca="false">B14-50</f>
        <v>5.08333333333334</v>
      </c>
    </row>
    <row r="16" customFormat="false" ht="15" hidden="false" customHeight="true" outlineLevel="0" collapsed="false">
      <c r="A16" s="41" t="s">
        <v>64</v>
      </c>
      <c r="B16" s="47" t="n">
        <f aca="false">AVERAGE('Raw Data'!K2:K13)/('Raw Data'!C13/AVERAGE('Raw Data'!G2:G13))</f>
        <v>1.68989958284998</v>
      </c>
    </row>
    <row r="17" customFormat="false" ht="15" hidden="false" customHeight="true" outlineLevel="0" collapsed="false">
      <c r="A17" s="41" t="s">
        <v>65</v>
      </c>
      <c r="B17" s="43" t="n">
        <f aca="false">AVERAGE('Raw Data'!K2:K13)/(('Raw Data'!C13)/AVERAGE('Raw Data'!G2:G13))</f>
        <v>1.68989958284998</v>
      </c>
    </row>
    <row r="18" customFormat="false" ht="15" hidden="false" customHeight="true" outlineLevel="0" collapsed="false">
      <c r="A18" s="41"/>
      <c r="B18" s="44" t="n">
        <f aca="false">B17-18</f>
        <v>-16.31010041715</v>
      </c>
    </row>
    <row r="19" customFormat="false" ht="15" hidden="false" customHeight="true" outlineLevel="0" collapsed="false">
      <c r="A19" s="41" t="s">
        <v>39</v>
      </c>
      <c r="B19" s="48" t="n">
        <f aca="false">AVERAGE('Raw Data'!L2:L13)/AVERAGE('Raw Data'!K2:K13)</f>
        <v>5.73840731567918</v>
      </c>
    </row>
    <row r="20" customFormat="false" ht="15" hidden="false" customHeight="true" outlineLevel="0" collapsed="false">
      <c r="A20" s="41" t="s">
        <v>66</v>
      </c>
      <c r="B20" s="43" t="n">
        <f aca="false">AVERAGE('Raw Data'!L2:L13)/AVERAGE('Raw Data'!K2:K13)</f>
        <v>5.73840731567918</v>
      </c>
    </row>
    <row r="21" customFormat="false" ht="15" hidden="false" customHeight="true" outlineLevel="0" collapsed="false">
      <c r="A21" s="41"/>
      <c r="B21" s="44" t="n">
        <f aca="false">B20-3</f>
        <v>2.73840731567918</v>
      </c>
    </row>
    <row r="22" customFormat="false" ht="15" hidden="false" customHeight="true" outlineLevel="0" collapsed="false">
      <c r="A22" s="41" t="s">
        <v>67</v>
      </c>
      <c r="B22" s="46" t="n">
        <f aca="false">SUM('Raw Data'!E2:E13)/('Raw Data'!C2*12)</f>
        <v>0.0361423367963475</v>
      </c>
    </row>
    <row r="23" customFormat="false" ht="15" hidden="false" customHeight="true" outlineLevel="0" collapsed="false">
      <c r="A23" s="41" t="s">
        <v>68</v>
      </c>
      <c r="B23" s="43" t="n">
        <f aca="false">SUM('Raw Data'!E2:E13)/('Raw Data'!C2*12)</f>
        <v>0.0361423367963475</v>
      </c>
    </row>
    <row r="24" customFormat="false" ht="15" hidden="false" customHeight="false" outlineLevel="0" collapsed="false">
      <c r="B24" s="44" t="n">
        <f aca="false">B23-0.1</f>
        <v>-0.0638576632036525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6"/>
  </cols>
  <sheetData>
    <row r="1" customFormat="false" ht="15" hidden="false" customHeight="true" outlineLevel="0" collapsed="false">
      <c r="A1" s="1" t="s">
        <v>0</v>
      </c>
      <c r="B1" s="1" t="s">
        <v>2</v>
      </c>
      <c r="C1" s="1" t="s">
        <v>69</v>
      </c>
      <c r="D1" s="1" t="s">
        <v>70</v>
      </c>
      <c r="E1" s="1" t="s">
        <v>50</v>
      </c>
      <c r="F1" s="1" t="s">
        <v>71</v>
      </c>
    </row>
    <row r="2" customFormat="false" ht="15" hidden="false" customHeight="true" outlineLevel="0" collapsed="false">
      <c r="A2" s="1" t="str">
        <f aca="false">'Raw Data'!A2</f>
        <v>Jan-24</v>
      </c>
      <c r="B2" s="49" t="n">
        <f aca="false">'Raw Data'!C2</f>
        <v>891805</v>
      </c>
      <c r="C2" s="49" t="n">
        <f aca="false">'Raw Data'!D2</f>
        <v>88278</v>
      </c>
      <c r="D2" s="49" t="n">
        <f aca="false">'Raw Data'!E2</f>
        <v>42299</v>
      </c>
      <c r="E2" s="1" t="n">
        <f aca="false">'Raw Data'!J2</f>
        <v>46</v>
      </c>
      <c r="F2" s="1" t="n">
        <f aca="false">'Raw Data'!G2</f>
        <v>438</v>
      </c>
    </row>
    <row r="3" customFormat="false" ht="15" hidden="false" customHeight="true" outlineLevel="0" collapsed="false">
      <c r="A3" s="1" t="str">
        <f aca="false">'Raw Data'!A3</f>
        <v>Feb-24</v>
      </c>
      <c r="B3" s="49" t="n">
        <f aca="false">'Raw Data'!C3</f>
        <v>920886</v>
      </c>
      <c r="C3" s="49" t="n">
        <f aca="false">'Raw Data'!D3</f>
        <v>140302</v>
      </c>
      <c r="D3" s="49" t="n">
        <f aca="false">'Raw Data'!E3</f>
        <v>19041</v>
      </c>
      <c r="E3" s="1" t="n">
        <f aca="false">'Raw Data'!J3</f>
        <v>49</v>
      </c>
      <c r="F3" s="1" t="n">
        <f aca="false">'Raw Data'!G3</f>
        <v>451</v>
      </c>
    </row>
    <row r="4" customFormat="false" ht="15" hidden="false" customHeight="true" outlineLevel="0" collapsed="false">
      <c r="A4" s="1" t="str">
        <f aca="false">'Raw Data'!A4</f>
        <v>Mar-24</v>
      </c>
      <c r="B4" s="49" t="n">
        <f aca="false">'Raw Data'!C4</f>
        <v>968293</v>
      </c>
      <c r="C4" s="49" t="n">
        <f aca="false">'Raw Data'!D4</f>
        <v>156426</v>
      </c>
      <c r="D4" s="49" t="n">
        <f aca="false">'Raw Data'!E4</f>
        <v>31746</v>
      </c>
      <c r="E4" s="1" t="n">
        <f aca="false">'Raw Data'!J4</f>
        <v>67</v>
      </c>
      <c r="F4" s="1" t="n">
        <f aca="false">'Raw Data'!G4</f>
        <v>475</v>
      </c>
    </row>
    <row r="5" customFormat="false" ht="15" hidden="false" customHeight="true" outlineLevel="0" collapsed="false">
      <c r="A5" s="1" t="str">
        <f aca="false">'Raw Data'!A5</f>
        <v>Apr-24</v>
      </c>
      <c r="B5" s="49" t="n">
        <f aca="false">'Raw Data'!C5</f>
        <v>1009618</v>
      </c>
      <c r="C5" s="49" t="n">
        <f aca="false">'Raw Data'!D5</f>
        <v>121421</v>
      </c>
      <c r="D5" s="49" t="n">
        <f aca="false">'Raw Data'!E5</f>
        <v>23094</v>
      </c>
      <c r="E5" s="1" t="n">
        <f aca="false">'Raw Data'!J5</f>
        <v>44</v>
      </c>
      <c r="F5" s="1" t="n">
        <f aca="false">'Raw Data'!G5</f>
        <v>498</v>
      </c>
    </row>
    <row r="6" customFormat="false" ht="15" hidden="false" customHeight="true" outlineLevel="0" collapsed="false">
      <c r="A6" s="1" t="str">
        <f aca="false">'Raw Data'!A6</f>
        <v>May-24</v>
      </c>
      <c r="B6" s="49" t="n">
        <f aca="false">'Raw Data'!C6</f>
        <v>1058193</v>
      </c>
      <c r="C6" s="49" t="n">
        <f aca="false">'Raw Data'!D6</f>
        <v>90695</v>
      </c>
      <c r="D6" s="49" t="n">
        <f aca="false">'Raw Data'!E6</f>
        <v>41911</v>
      </c>
      <c r="E6" s="1" t="n">
        <f aca="false">'Raw Data'!J6</f>
        <v>54</v>
      </c>
      <c r="F6" s="1" t="n">
        <f aca="false">'Raw Data'!G6</f>
        <v>528</v>
      </c>
    </row>
    <row r="7" customFormat="false" ht="15" hidden="false" customHeight="true" outlineLevel="0" collapsed="false">
      <c r="A7" s="1" t="str">
        <f aca="false">'Raw Data'!A7</f>
        <v>Jun-24</v>
      </c>
      <c r="B7" s="49" t="n">
        <f aca="false">'Raw Data'!C7</f>
        <v>1109574</v>
      </c>
      <c r="C7" s="49" t="n">
        <f aca="false">'Raw Data'!D7</f>
        <v>132400</v>
      </c>
      <c r="D7" s="49" t="n">
        <f aca="false">'Raw Data'!E7</f>
        <v>36918</v>
      </c>
      <c r="E7" s="1" t="n">
        <f aca="false">'Raw Data'!J7</f>
        <v>63</v>
      </c>
      <c r="F7" s="1" t="n">
        <f aca="false">'Raw Data'!G7</f>
        <v>544</v>
      </c>
    </row>
    <row r="8" customFormat="false" ht="15" hidden="false" customHeight="true" outlineLevel="0" collapsed="false">
      <c r="A8" s="1" t="str">
        <f aca="false">'Raw Data'!A8</f>
        <v>Jul-24</v>
      </c>
      <c r="B8" s="49" t="n">
        <f aca="false">'Raw Data'!C8</f>
        <v>1171333</v>
      </c>
      <c r="C8" s="49" t="n">
        <f aca="false">'Raw Data'!D8</f>
        <v>98238</v>
      </c>
      <c r="D8" s="49" t="n">
        <f aca="false">'Raw Data'!E8</f>
        <v>30455</v>
      </c>
      <c r="E8" s="1" t="n">
        <f aca="false">'Raw Data'!J8</f>
        <v>47</v>
      </c>
      <c r="F8" s="1" t="n">
        <f aca="false">'Raw Data'!G8</f>
        <v>567</v>
      </c>
    </row>
    <row r="9" customFormat="false" ht="15" hidden="false" customHeight="true" outlineLevel="0" collapsed="false">
      <c r="A9" s="1" t="str">
        <f aca="false">'Raw Data'!A9</f>
        <v>Aug-24</v>
      </c>
      <c r="B9" s="49" t="n">
        <f aca="false">'Raw Data'!C9</f>
        <v>1231135</v>
      </c>
      <c r="C9" s="49" t="n">
        <f aca="false">'Raw Data'!D9</f>
        <v>94358</v>
      </c>
      <c r="D9" s="49" t="n">
        <f aca="false">'Raw Data'!E9</f>
        <v>37960</v>
      </c>
      <c r="E9" s="1" t="n">
        <f aca="false">'Raw Data'!J9</f>
        <v>47</v>
      </c>
      <c r="F9" s="1" t="n">
        <f aca="false">'Raw Data'!G9</f>
        <v>595</v>
      </c>
    </row>
    <row r="10" customFormat="false" ht="15" hidden="false" customHeight="true" outlineLevel="0" collapsed="false">
      <c r="A10" s="1" t="str">
        <f aca="false">'Raw Data'!A10</f>
        <v>Sep-24</v>
      </c>
      <c r="B10" s="49" t="n">
        <f aca="false">'Raw Data'!C10</f>
        <v>1291706</v>
      </c>
      <c r="C10" s="49" t="n">
        <f aca="false">'Raw Data'!D10</f>
        <v>158000</v>
      </c>
      <c r="D10" s="49" t="n">
        <f aca="false">'Raw Data'!E10</f>
        <v>25196</v>
      </c>
      <c r="E10" s="1" t="n">
        <f aca="false">'Raw Data'!J10</f>
        <v>68</v>
      </c>
      <c r="F10" s="1" t="n">
        <f aca="false">'Raw Data'!G10</f>
        <v>607</v>
      </c>
    </row>
    <row r="11" customFormat="false" ht="15" hidden="false" customHeight="true" outlineLevel="0" collapsed="false">
      <c r="A11" s="1" t="str">
        <f aca="false">'Raw Data'!A11</f>
        <v>Oct-24</v>
      </c>
      <c r="B11" s="49" t="n">
        <f aca="false">'Raw Data'!C11</f>
        <v>1333022</v>
      </c>
      <c r="C11" s="49" t="n">
        <f aca="false">'Raw Data'!D11</f>
        <v>159341</v>
      </c>
      <c r="D11" s="49" t="n">
        <f aca="false">'Raw Data'!E11</f>
        <v>41524</v>
      </c>
      <c r="E11" s="1" t="n">
        <f aca="false">'Raw Data'!J11</f>
        <v>54</v>
      </c>
      <c r="F11" s="1" t="n">
        <f aca="false">'Raw Data'!G11</f>
        <v>620</v>
      </c>
    </row>
    <row r="12" customFormat="false" ht="15" hidden="false" customHeight="true" outlineLevel="0" collapsed="false">
      <c r="A12" s="1" t="str">
        <f aca="false">'Raw Data'!A12</f>
        <v>Nov-24</v>
      </c>
      <c r="B12" s="49" t="n">
        <f aca="false">'Raw Data'!C12</f>
        <v>1382876</v>
      </c>
      <c r="C12" s="49" t="n">
        <f aca="false">'Raw Data'!D12</f>
        <v>158579</v>
      </c>
      <c r="D12" s="49" t="n">
        <f aca="false">'Raw Data'!E12</f>
        <v>35661</v>
      </c>
      <c r="E12" s="1" t="n">
        <f aca="false">'Raw Data'!J12</f>
        <v>60</v>
      </c>
      <c r="F12" s="1" t="n">
        <f aca="false">'Raw Data'!G12</f>
        <v>646</v>
      </c>
    </row>
    <row r="13" customFormat="false" ht="15" hidden="false" customHeight="true" outlineLevel="0" collapsed="false">
      <c r="A13" s="1" t="str">
        <f aca="false">'Raw Data'!A13</f>
        <v>Dec-24</v>
      </c>
      <c r="B13" s="49" t="n">
        <f aca="false">'Raw Data'!C13</f>
        <v>1430101</v>
      </c>
      <c r="C13" s="49" t="n">
        <f aca="false">'Raw Data'!D13</f>
        <v>149686</v>
      </c>
      <c r="D13" s="49" t="n">
        <f aca="false">'Raw Data'!E13</f>
        <v>20978</v>
      </c>
      <c r="E13" s="1" t="n">
        <f aca="false">'Raw Data'!J13</f>
        <v>62</v>
      </c>
      <c r="F13" s="1" t="n">
        <f aca="false">'Raw Data'!G13</f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2026-03-16T23:50:58Z</dcterms:created>
  <dc:creator>openpyxl</dc:creator>
  <dc:description/>
  <dc:language>en-US</dc:language>
  <cp:lastModifiedBy/>
  <dcterms:modified xsi:type="dcterms:W3CDTF">2026-03-16T23:51:35Z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