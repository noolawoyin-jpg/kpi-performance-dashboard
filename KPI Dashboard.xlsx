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KPI Dashboard" sheetId="2" state="visible" r:id="rId2"/>
    <sheet xmlns:r="http://schemas.openxmlformats.org/officeDocument/2006/relationships" name="KPI Calc" sheetId="3" state="hidden" r:id="rId3"/>
    <sheet xmlns:r="http://schemas.openxmlformats.org/officeDocument/2006/relationships" name="Charts" sheetId="4" state="hidden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"/>
    <numFmt numFmtId="166" formatCode="\$#,##0"/>
    <numFmt numFmtId="167" formatCode="0.0%"/>
    <numFmt numFmtId="168" formatCode="0.0%;\(0.0%\);\-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color rgb="FF999999"/>
      <sz val="9"/>
    </font>
    <font>
      <name val="Arial"/>
      <charset val="1"/>
      <family val="0"/>
      <color rgb="FFAAAAAA"/>
      <sz val="8"/>
    </font>
    <font>
      <name val="Arial"/>
      <charset val="1"/>
      <family val="0"/>
      <b val="1"/>
      <color rgb="FFFFFFFF"/>
      <sz val="18"/>
    </font>
    <font>
      <name val="Arial"/>
      <charset val="1"/>
      <family val="0"/>
      <color rgb="FFFFC000"/>
      <sz val="9"/>
    </font>
    <font>
      <name val="Arial"/>
      <charset val="1"/>
      <family val="0"/>
      <color rgb="FF888888"/>
      <sz val="8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00000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F4E79"/>
        <bgColor rgb="FF0E3D6E"/>
      </patternFill>
    </fill>
    <fill>
      <patternFill patternType="solid">
        <fgColor rgb="FFF9F9F9"/>
        <bgColor rgb="FFFFFFFF"/>
      </patternFill>
    </fill>
    <fill>
      <patternFill patternType="solid">
        <fgColor rgb="FFFFFFFF"/>
        <bgColor rgb="FFF9F9F9"/>
      </patternFill>
    </fill>
    <fill>
      <patternFill patternType="solid">
        <fgColor rgb="FF0A2D5E"/>
        <bgColor rgb="FF0E3D6E"/>
      </patternFill>
    </fill>
    <fill>
      <patternFill patternType="solid">
        <fgColor rgb="FF0E3D6E"/>
        <bgColor rgb="FF0A2D5E"/>
      </patternFill>
    </fill>
    <fill>
      <patternFill patternType="solid">
        <fgColor rgb="FF2E75B6"/>
        <bgColor rgb="FF4A7EBB"/>
      </patternFill>
    </fill>
    <fill>
      <patternFill patternType="solid">
        <fgColor rgb="FFF2F2F2"/>
        <bgColor rgb="FFF9F9F9"/>
      </patternFill>
    </fill>
    <fill>
      <patternFill patternType="solid">
        <fgColor rgb="FFDAE3F3"/>
        <bgColor rgb="FFD9D9D9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 indent="2"/>
    </xf>
    <xf numFmtId="0" fontId="6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center" vertical="bottom"/>
    </xf>
    <xf numFmtId="3" fontId="8" fillId="5" borderId="0" applyAlignment="1" pivotButton="0" quotePrefix="0" xfId="0">
      <alignment horizontal="center" vertical="bottom"/>
    </xf>
    <xf numFmtId="167" fontId="8" fillId="5" borderId="0" applyAlignment="1" pivotButton="0" quotePrefix="0" xfId="0">
      <alignment horizontal="center" vertical="bottom"/>
    </xf>
    <xf numFmtId="166" fontId="9" fillId="5" borderId="0" applyAlignment="1" pivotButton="0" quotePrefix="0" xfId="0">
      <alignment horizontal="center" vertical="bottom"/>
    </xf>
    <xf numFmtId="167" fontId="9" fillId="5" borderId="0" applyAlignment="1" pivotButton="0" quotePrefix="0" xfId="0">
      <alignment horizontal="center" vertical="bottom"/>
    </xf>
    <xf numFmtId="3" fontId="9" fillId="5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5" fontId="8" fillId="6" borderId="0" applyAlignment="1" pivotButton="0" quotePrefix="0" xfId="0">
      <alignment horizontal="center" vertical="bottom"/>
    </xf>
    <xf numFmtId="2" fontId="8" fillId="6" borderId="0" applyAlignment="1" pivotButton="0" quotePrefix="0" xfId="0">
      <alignment horizontal="center" vertical="bottom"/>
    </xf>
    <xf numFmtId="167" fontId="8" fillId="6" borderId="0" applyAlignment="1" pivotButton="0" quotePrefix="0" xfId="0">
      <alignment horizontal="center" vertical="bottom"/>
    </xf>
    <xf numFmtId="165" fontId="9" fillId="6" borderId="0" applyAlignment="1" pivotButton="0" quotePrefix="0" xfId="0">
      <alignment horizontal="center" vertical="bottom"/>
    </xf>
    <xf numFmtId="2" fontId="9" fillId="6" borderId="0" applyAlignment="1" pivotButton="0" quotePrefix="0" xfId="0">
      <alignment horizontal="center" vertical="bottom"/>
    </xf>
    <xf numFmtId="167" fontId="9" fillId="6" borderId="0" applyAlignment="1" pivotButton="0" quotePrefix="0" xfId="0">
      <alignment horizontal="center" vertical="bottom"/>
    </xf>
    <xf numFmtId="0" fontId="10" fillId="6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64" fontId="13" fillId="8" borderId="1" applyAlignment="1" pivotButton="0" quotePrefix="0" xfId="0">
      <alignment horizontal="right" vertical="center"/>
    </xf>
    <xf numFmtId="0" fontId="14" fillId="9" borderId="2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right" vertical="center"/>
    </xf>
    <xf numFmtId="168" fontId="13" fillId="4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168" fontId="13" fillId="8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 indent="2"/>
    </xf>
    <xf numFmtId="0" fontId="6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center" vertical="bottom"/>
    </xf>
    <xf numFmtId="3" fontId="8" fillId="5" borderId="0" applyAlignment="1" pivotButton="0" quotePrefix="0" xfId="0">
      <alignment horizontal="center" vertical="bottom"/>
    </xf>
    <xf numFmtId="167" fontId="8" fillId="5" borderId="0" applyAlignment="1" pivotButton="0" quotePrefix="0" xfId="0">
      <alignment horizontal="center" vertical="bottom"/>
    </xf>
    <xf numFmtId="166" fontId="9" fillId="5" borderId="0" applyAlignment="1" pivotButton="0" quotePrefix="0" xfId="0">
      <alignment horizontal="center" vertical="bottom"/>
    </xf>
    <xf numFmtId="167" fontId="9" fillId="5" borderId="0" applyAlignment="1" pivotButton="0" quotePrefix="0" xfId="0">
      <alignment horizontal="center" vertical="bottom"/>
    </xf>
    <xf numFmtId="3" fontId="9" fillId="5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5" fontId="8" fillId="6" borderId="0" applyAlignment="1" pivotButton="0" quotePrefix="0" xfId="0">
      <alignment horizontal="center" vertical="bottom"/>
    </xf>
    <xf numFmtId="2" fontId="8" fillId="6" borderId="0" applyAlignment="1" pivotButton="0" quotePrefix="0" xfId="0">
      <alignment horizontal="center" vertical="bottom"/>
    </xf>
    <xf numFmtId="167" fontId="8" fillId="6" borderId="0" applyAlignment="1" pivotButton="0" quotePrefix="0" xfId="0">
      <alignment horizontal="center" vertical="bottom"/>
    </xf>
    <xf numFmtId="165" fontId="9" fillId="6" borderId="0" applyAlignment="1" pivotButton="0" quotePrefix="0" xfId="0">
      <alignment horizontal="center" vertical="bottom"/>
    </xf>
    <xf numFmtId="2" fontId="9" fillId="6" borderId="0" applyAlignment="1" pivotButton="0" quotePrefix="0" xfId="0">
      <alignment horizontal="center" vertical="bottom"/>
    </xf>
    <xf numFmtId="167" fontId="9" fillId="6" borderId="0" applyAlignment="1" pivotButton="0" quotePrefix="0" xfId="0">
      <alignment horizontal="center" vertical="bottom"/>
    </xf>
    <xf numFmtId="0" fontId="10" fillId="6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64" fontId="13" fillId="8" borderId="1" applyAlignment="1" pivotButton="0" quotePrefix="0" xfId="0">
      <alignment horizontal="right" vertical="center"/>
    </xf>
    <xf numFmtId="0" fontId="14" fillId="9" borderId="2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right" vertical="center"/>
    </xf>
    <xf numFmtId="168" fontId="13" fillId="4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1" applyAlignment="1" pivotButton="0" quotePrefix="0" xfId="0">
      <alignment horizontal="general" vertical="bottom"/>
    </xf>
    <xf numFmtId="168" fontId="13" fillId="8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88888"/>
      <rgbColor rgb="FF800080"/>
      <rgbColor rgb="FF008080"/>
      <rgbColor rgb="FFCCCCCC"/>
      <rgbColor rgb="FF878787"/>
      <rgbColor rgb="FFAAAAAA"/>
      <rgbColor rgb="FFC0504D"/>
      <rgbColor rgb="FFF9F9F9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4A7EBB"/>
      <rgbColor rgb="FF999999"/>
      <rgbColor rgb="FF0A2D5E"/>
      <rgbColor rgb="FF4F81BD"/>
      <rgbColor rgb="FF003300"/>
      <rgbColor rgb="FF333300"/>
      <rgbColor rgb="FF993300"/>
      <rgbColor rgb="FF993366"/>
      <rgbColor rgb="FF1F4E79"/>
      <rgbColor rgb="FF0E3D6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Recurring Revenue (MRR) — FY 2024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Charts!B1</f>
              <strCache>
                <ptCount val="1"/>
                <pt idx="0">
                  <v>MRR ($)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4752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Charts!$A$2:$A$13</f>
              <strCache>
                <ptCount val="12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</strCache>
            </strRef>
          </cat>
          <val>
            <numRef>
              <f>Charts!$B$2:$B$13</f>
              <numCache>
                <formatCode>\$#,##0;"($"#,##0\);\-</formatCode>
                <ptCount val="12"/>
                <pt idx="0">
                  <v>891805</v>
                </pt>
                <pt idx="1">
                  <v>920886</v>
                </pt>
                <pt idx="2">
                  <v>968293</v>
                </pt>
                <pt idx="3">
                  <v>1009618</v>
                </pt>
                <pt idx="4">
                  <v>1058193</v>
                </pt>
                <pt idx="5">
                  <v>1109574</v>
                </pt>
                <pt idx="6">
                  <v>1171333</v>
                </pt>
                <pt idx="7">
                  <v>1231135</v>
                </pt>
                <pt idx="8">
                  <v>1291706</v>
                </pt>
                <pt idx="9">
                  <v>1333022</v>
                </pt>
                <pt idx="10">
                  <v>1382876</v>
                </pt>
                <pt idx="11">
                  <v>1430101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731558"/>
        <axId val="22922877"/>
      </lineChart>
      <catAx>
        <axId val="773155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2922877"/>
        <crosses val="autoZero"/>
        <auto val="1"/>
        <lblAlgn val="ctr"/>
        <lblOffset val="100"/>
        <noMultiLvlLbl val="0"/>
      </catAx>
      <valAx>
        <axId val="2292287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MRR ($)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;&quot;($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7315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ARR Movement — New vs Churn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Charts!C1</f>
              <strCache>
                <ptCount val="1"/>
                <pt idx="0">
                  <v>New ARR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Charts!$A$2:$A$13</f>
              <strCache>
                <ptCount val="12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</strCache>
            </strRef>
          </cat>
          <val>
            <numRef>
              <f>Charts!$C$2:$C$13</f>
              <numCache>
                <formatCode>\$#,##0;"($"#,##0\);\-</formatCode>
                <ptCount val="12"/>
                <pt idx="0">
                  <v>88278</v>
                </pt>
                <pt idx="1">
                  <v>140302</v>
                </pt>
                <pt idx="2">
                  <v>156426</v>
                </pt>
                <pt idx="3">
                  <v>121421</v>
                </pt>
                <pt idx="4">
                  <v>90695</v>
                </pt>
                <pt idx="5">
                  <v>132400</v>
                </pt>
                <pt idx="6">
                  <v>98238</v>
                </pt>
                <pt idx="7">
                  <v>94358</v>
                </pt>
                <pt idx="8">
                  <v>158000</v>
                </pt>
                <pt idx="9">
                  <v>159341</v>
                </pt>
                <pt idx="10">
                  <v>158579</v>
                </pt>
                <pt idx="11">
                  <v>149686</v>
                </pt>
              </numCache>
            </numRef>
          </val>
        </ser>
        <ser>
          <idx val="1"/>
          <order val="1"/>
          <tx>
            <strRef>
              <f>Charts!D1</f>
              <strCache>
                <ptCount val="1"/>
                <pt idx="0">
                  <v>Churn ARR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Charts!$A$2:$A$13</f>
              <strCache>
                <ptCount val="12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</strCache>
            </strRef>
          </cat>
          <val>
            <numRef>
              <f>Charts!$D$2:$D$13</f>
              <numCache>
                <formatCode>\$#,##0;"($"#,##0\);\-</formatCode>
                <ptCount val="12"/>
                <pt idx="0">
                  <v>42299</v>
                </pt>
                <pt idx="1">
                  <v>19041</v>
                </pt>
                <pt idx="2">
                  <v>31746</v>
                </pt>
                <pt idx="3">
                  <v>23094</v>
                </pt>
                <pt idx="4">
                  <v>41911</v>
                </pt>
                <pt idx="5">
                  <v>36918</v>
                </pt>
                <pt idx="6">
                  <v>30455</v>
                </pt>
                <pt idx="7">
                  <v>37960</v>
                </pt>
                <pt idx="8">
                  <v>25196</v>
                </pt>
                <pt idx="9">
                  <v>41524</v>
                </pt>
                <pt idx="10">
                  <v>35661</v>
                </pt>
                <pt idx="11">
                  <v>20978</v>
                </pt>
              </numCache>
            </numRef>
          </val>
        </ser>
        <gapWidth val="150"/>
        <overlap val="0"/>
        <axId val="11736858"/>
        <axId val="63930322"/>
      </barChart>
      <catAx>
        <axId val="1173685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3930322"/>
        <crosses val="autoZero"/>
        <auto val="1"/>
        <lblAlgn val="ctr"/>
        <lblOffset val="100"/>
        <noMultiLvlLbl val="0"/>
      </catAx>
      <valAx>
        <axId val="639303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ARR ($)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;&quot;($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17368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NPS Score Trend — FY 2024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Charts!E1</f>
              <strCache>
                <ptCount val="1"/>
                <pt idx="0">
                  <v>NPS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Charts!$A$2:$A$13</f>
              <strCache>
                <ptCount val="12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</strCache>
            </strRef>
          </cat>
          <val>
            <numRef>
              <f>Charts!$E$2:$E$13</f>
              <numCache>
                <formatCode>General</formatCode>
                <ptCount val="12"/>
                <pt idx="0">
                  <v>46</v>
                </pt>
                <pt idx="1">
                  <v>49</v>
                </pt>
                <pt idx="2">
                  <v>67</v>
                </pt>
                <pt idx="3">
                  <v>44</v>
                </pt>
                <pt idx="4">
                  <v>54</v>
                </pt>
                <pt idx="5">
                  <v>63</v>
                </pt>
                <pt idx="6">
                  <v>47</v>
                </pt>
                <pt idx="7">
                  <v>47</v>
                </pt>
                <pt idx="8">
                  <v>68</v>
                </pt>
                <pt idx="9">
                  <v>54</v>
                </pt>
                <pt idx="10">
                  <v>60</v>
                </pt>
                <pt idx="11">
                  <v>62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5818873"/>
        <axId val="99700211"/>
      </lineChart>
      <catAx>
        <axId val="9581887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9700211"/>
        <crosses val="autoZero"/>
        <auto val="1"/>
        <lblAlgn val="ctr"/>
        <lblOffset val="100"/>
        <noMultiLvlLbl val="0"/>
      </catAx>
      <valAx>
        <axId val="9970021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58188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Active Customer Count — FY 2024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Charts!F1</f>
              <strCache>
                <ptCount val="1"/>
                <pt idx="0">
                  <v>Customers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Charts!$A$2:$A$13</f>
              <strCache>
                <ptCount val="12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</strCache>
            </strRef>
          </cat>
          <val>
            <numRef>
              <f>Charts!$F$2:$F$13</f>
              <numCache>
                <formatCode>General</formatCode>
                <ptCount val="12"/>
                <pt idx="0">
                  <v>438</v>
                </pt>
                <pt idx="1">
                  <v>451</v>
                </pt>
                <pt idx="2">
                  <v>475</v>
                </pt>
                <pt idx="3">
                  <v>498</v>
                </pt>
                <pt idx="4">
                  <v>528</v>
                </pt>
                <pt idx="5">
                  <v>544</v>
                </pt>
                <pt idx="6">
                  <v>567</v>
                </pt>
                <pt idx="7">
                  <v>595</v>
                </pt>
                <pt idx="8">
                  <v>607</v>
                </pt>
                <pt idx="9">
                  <v>620</v>
                </pt>
                <pt idx="10">
                  <v>646</v>
                </pt>
                <pt idx="11">
                  <v>661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5680351"/>
        <axId val="79314423"/>
      </lineChart>
      <catAx>
        <axId val="4568035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9314423"/>
        <crosses val="autoZero"/>
        <auto val="1"/>
        <lblAlgn val="ctr"/>
        <lblOffset val="100"/>
        <noMultiLvlLbl val="0"/>
      </catAx>
      <valAx>
        <axId val="793144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568035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37</row>
      <rowOff>0</rowOff>
    </from>
    <to>
      <col>8</col>
      <colOff>1011960</colOff>
      <row>59</row>
      <rowOff>128160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6</col>
      <colOff>0</colOff>
      <row>37</row>
      <rowOff>0</rowOff>
    </from>
    <to>
      <col>16</col>
      <colOff>209880</colOff>
      <row>59</row>
      <rowOff>128160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54</row>
      <rowOff>0</rowOff>
    </from>
    <to>
      <col>8</col>
      <colOff>1011960</colOff>
      <row>72</row>
      <rowOff>170280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6</col>
      <colOff>0</colOff>
      <row>54</row>
      <rowOff>0</rowOff>
    </from>
    <to>
      <col>16</col>
      <colOff>209880</colOff>
      <row>72</row>
      <rowOff>170280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M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50" min="1" max="1"/>
    <col width="14" customWidth="1" style="50" min="2" max="2"/>
    <col width="18" customWidth="1" style="50" min="3" max="3"/>
    <col width="16" customWidth="1" style="50" min="4" max="13"/>
  </cols>
  <sheetData>
    <row r="1" ht="15" customHeight="1" s="51">
      <c r="A1" s="52" t="inlineStr">
        <is>
          <t>Month</t>
        </is>
      </c>
      <c r="B1" s="52" t="inlineStr">
        <is>
          <t>Quarter</t>
        </is>
      </c>
      <c r="C1" s="52" t="inlineStr">
        <is>
          <t>MRR ($)</t>
        </is>
      </c>
      <c r="D1" s="52" t="inlineStr">
        <is>
          <t>New ARR ($)</t>
        </is>
      </c>
      <c r="E1" s="52" t="inlineStr">
        <is>
          <t>Churn ARR ($)</t>
        </is>
      </c>
      <c r="F1" s="52" t="inlineStr">
        <is>
          <t>Expansion ARR ($)</t>
        </is>
      </c>
      <c r="G1" s="52" t="inlineStr">
        <is>
          <t>Active Customers</t>
        </is>
      </c>
      <c r="H1" s="52" t="inlineStr">
        <is>
          <t>New Customers</t>
        </is>
      </c>
      <c r="I1" s="52" t="inlineStr">
        <is>
          <t>Churned Customers</t>
        </is>
      </c>
      <c r="J1" s="52" t="inlineStr">
        <is>
          <t>NPS Score</t>
        </is>
      </c>
      <c r="K1" s="52" t="inlineStr">
        <is>
          <t>CAC ($)</t>
        </is>
      </c>
      <c r="L1" s="52" t="inlineStr">
        <is>
          <t>LTV ($)</t>
        </is>
      </c>
      <c r="M1" s="52" t="inlineStr">
        <is>
          <t>CSAT Score</t>
        </is>
      </c>
    </row>
    <row r="2" ht="15" customHeight="1" s="51">
      <c r="A2" s="53" t="inlineStr">
        <is>
          <t>Jan-24</t>
        </is>
      </c>
      <c r="B2" s="53" t="inlineStr">
        <is>
          <t>Q1 2024</t>
        </is>
      </c>
      <c r="C2" s="54" t="n">
        <v>891805</v>
      </c>
      <c r="D2" s="54" t="n">
        <v>88278</v>
      </c>
      <c r="E2" s="54" t="n">
        <v>42299</v>
      </c>
      <c r="F2" s="54" t="n">
        <v>40024</v>
      </c>
      <c r="G2" s="55" t="n">
        <v>438</v>
      </c>
      <c r="H2" s="55" t="n">
        <v>25</v>
      </c>
      <c r="I2" s="55" t="n">
        <v>7</v>
      </c>
      <c r="J2" s="55" t="n">
        <v>46</v>
      </c>
      <c r="K2" s="54" t="n">
        <v>4009</v>
      </c>
      <c r="L2" s="54" t="n">
        <v>24280</v>
      </c>
      <c r="M2" s="56" t="n">
        <v>4.6</v>
      </c>
    </row>
    <row r="3" ht="15" customHeight="1" s="51">
      <c r="A3" s="57" t="inlineStr">
        <is>
          <t>Feb-24</t>
        </is>
      </c>
      <c r="B3" s="57" t="inlineStr">
        <is>
          <t>Q1 2024</t>
        </is>
      </c>
      <c r="C3" s="58" t="n">
        <v>920886</v>
      </c>
      <c r="D3" s="58" t="n">
        <v>140302</v>
      </c>
      <c r="E3" s="58" t="n">
        <v>19041</v>
      </c>
      <c r="F3" s="58" t="n">
        <v>23952</v>
      </c>
      <c r="G3" s="59" t="n">
        <v>451</v>
      </c>
      <c r="H3" s="59" t="n">
        <v>20</v>
      </c>
      <c r="I3" s="59" t="n">
        <v>7</v>
      </c>
      <c r="J3" s="59" t="n">
        <v>49</v>
      </c>
      <c r="K3" s="58" t="n">
        <v>4834</v>
      </c>
      <c r="L3" s="58" t="n">
        <v>28446</v>
      </c>
      <c r="M3" s="60" t="n">
        <v>4.4</v>
      </c>
    </row>
    <row r="4" ht="15" customHeight="1" s="51">
      <c r="A4" s="53" t="inlineStr">
        <is>
          <t>Mar-24</t>
        </is>
      </c>
      <c r="B4" s="53" t="inlineStr">
        <is>
          <t>Q1 2024</t>
        </is>
      </c>
      <c r="C4" s="54" t="n">
        <v>968293</v>
      </c>
      <c r="D4" s="54" t="n">
        <v>156426</v>
      </c>
      <c r="E4" s="54" t="n">
        <v>31746</v>
      </c>
      <c r="F4" s="54" t="n">
        <v>36446</v>
      </c>
      <c r="G4" s="55" t="n">
        <v>475</v>
      </c>
      <c r="H4" s="55" t="n">
        <v>32</v>
      </c>
      <c r="I4" s="55" t="n">
        <v>8</v>
      </c>
      <c r="J4" s="55" t="n">
        <v>67</v>
      </c>
      <c r="K4" s="54" t="n">
        <v>3813</v>
      </c>
      <c r="L4" s="54" t="n">
        <v>23813</v>
      </c>
      <c r="M4" s="56" t="n">
        <v>4.2</v>
      </c>
    </row>
    <row r="5" ht="15" customHeight="1" s="51">
      <c r="A5" s="57" t="inlineStr">
        <is>
          <t>Apr-24</t>
        </is>
      </c>
      <c r="B5" s="57" t="inlineStr">
        <is>
          <t>Q2 2024</t>
        </is>
      </c>
      <c r="C5" s="58" t="n">
        <v>1009618</v>
      </c>
      <c r="D5" s="58" t="n">
        <v>121421</v>
      </c>
      <c r="E5" s="58" t="n">
        <v>23094</v>
      </c>
      <c r="F5" s="58" t="n">
        <v>36110</v>
      </c>
      <c r="G5" s="59" t="n">
        <v>498</v>
      </c>
      <c r="H5" s="59" t="n">
        <v>28</v>
      </c>
      <c r="I5" s="59" t="n">
        <v>5</v>
      </c>
      <c r="J5" s="59" t="n">
        <v>44</v>
      </c>
      <c r="K5" s="58" t="n">
        <v>4578</v>
      </c>
      <c r="L5" s="58" t="n">
        <v>21619</v>
      </c>
      <c r="M5" s="60" t="n">
        <v>4.6</v>
      </c>
    </row>
    <row r="6" ht="15" customHeight="1" s="51">
      <c r="A6" s="53" t="inlineStr">
        <is>
          <t>May-24</t>
        </is>
      </c>
      <c r="B6" s="53" t="inlineStr">
        <is>
          <t>Q2 2024</t>
        </is>
      </c>
      <c r="C6" s="54" t="n">
        <v>1058193</v>
      </c>
      <c r="D6" s="54" t="n">
        <v>90695</v>
      </c>
      <c r="E6" s="54" t="n">
        <v>41911</v>
      </c>
      <c r="F6" s="54" t="n">
        <v>52108</v>
      </c>
      <c r="G6" s="55" t="n">
        <v>528</v>
      </c>
      <c r="H6" s="55" t="n">
        <v>35</v>
      </c>
      <c r="I6" s="55" t="n">
        <v>5</v>
      </c>
      <c r="J6" s="55" t="n">
        <v>54</v>
      </c>
      <c r="K6" s="54" t="n">
        <v>3961</v>
      </c>
      <c r="L6" s="54" t="n">
        <v>22854</v>
      </c>
      <c r="M6" s="56" t="n">
        <v>4.6</v>
      </c>
    </row>
    <row r="7" ht="15" customHeight="1" s="51">
      <c r="A7" s="57" t="inlineStr">
        <is>
          <t>Jun-24</t>
        </is>
      </c>
      <c r="B7" s="57" t="inlineStr">
        <is>
          <t>Q2 2024</t>
        </is>
      </c>
      <c r="C7" s="58" t="n">
        <v>1109574</v>
      </c>
      <c r="D7" s="58" t="n">
        <v>132400</v>
      </c>
      <c r="E7" s="58" t="n">
        <v>36918</v>
      </c>
      <c r="F7" s="58" t="n">
        <v>34601</v>
      </c>
      <c r="G7" s="59" t="n">
        <v>544</v>
      </c>
      <c r="H7" s="59" t="n">
        <v>20</v>
      </c>
      <c r="I7" s="59" t="n">
        <v>4</v>
      </c>
      <c r="J7" s="59" t="n">
        <v>63</v>
      </c>
      <c r="K7" s="58" t="n">
        <v>4266</v>
      </c>
      <c r="L7" s="58" t="n">
        <v>26782</v>
      </c>
      <c r="M7" s="60" t="n">
        <v>4.7</v>
      </c>
    </row>
    <row r="8" ht="15" customHeight="1" s="51">
      <c r="A8" s="53" t="inlineStr">
        <is>
          <t>Jul-24</t>
        </is>
      </c>
      <c r="B8" s="53" t="inlineStr">
        <is>
          <t>Q3 2024</t>
        </is>
      </c>
      <c r="C8" s="54" t="n">
        <v>1171333</v>
      </c>
      <c r="D8" s="54" t="n">
        <v>98238</v>
      </c>
      <c r="E8" s="54" t="n">
        <v>30455</v>
      </c>
      <c r="F8" s="54" t="n">
        <v>40217</v>
      </c>
      <c r="G8" s="55" t="n">
        <v>567</v>
      </c>
      <c r="H8" s="55" t="n">
        <v>32</v>
      </c>
      <c r="I8" s="55" t="n">
        <v>9</v>
      </c>
      <c r="J8" s="55" t="n">
        <v>47</v>
      </c>
      <c r="K8" s="54" t="n">
        <v>4558</v>
      </c>
      <c r="L8" s="54" t="n">
        <v>24235</v>
      </c>
      <c r="M8" s="56" t="n">
        <v>4.5</v>
      </c>
    </row>
    <row r="9" ht="15" customHeight="1" s="51">
      <c r="A9" s="57" t="inlineStr">
        <is>
          <t>Aug-24</t>
        </is>
      </c>
      <c r="B9" s="57" t="inlineStr">
        <is>
          <t>Q3 2024</t>
        </is>
      </c>
      <c r="C9" s="58" t="n">
        <v>1231135</v>
      </c>
      <c r="D9" s="58" t="n">
        <v>94358</v>
      </c>
      <c r="E9" s="58" t="n">
        <v>37960</v>
      </c>
      <c r="F9" s="58" t="n">
        <v>33215</v>
      </c>
      <c r="G9" s="59" t="n">
        <v>595</v>
      </c>
      <c r="H9" s="59" t="n">
        <v>35</v>
      </c>
      <c r="I9" s="59" t="n">
        <v>7</v>
      </c>
      <c r="J9" s="59" t="n">
        <v>47</v>
      </c>
      <c r="K9" s="58" t="n">
        <v>4746</v>
      </c>
      <c r="L9" s="58" t="n">
        <v>25499</v>
      </c>
      <c r="M9" s="60" t="n">
        <v>4.7</v>
      </c>
    </row>
    <row r="10" ht="15" customHeight="1" s="51">
      <c r="A10" s="53" t="inlineStr">
        <is>
          <t>Sep-24</t>
        </is>
      </c>
      <c r="B10" s="53" t="inlineStr">
        <is>
          <t>Q3 2024</t>
        </is>
      </c>
      <c r="C10" s="54" t="n">
        <v>1291706</v>
      </c>
      <c r="D10" s="54" t="n">
        <v>158000</v>
      </c>
      <c r="E10" s="54" t="n">
        <v>25196</v>
      </c>
      <c r="F10" s="54" t="n">
        <v>43252</v>
      </c>
      <c r="G10" s="55" t="n">
        <v>607</v>
      </c>
      <c r="H10" s="55" t="n">
        <v>19</v>
      </c>
      <c r="I10" s="55" t="n">
        <v>7</v>
      </c>
      <c r="J10" s="55" t="n">
        <v>68</v>
      </c>
      <c r="K10" s="54" t="n">
        <v>3865</v>
      </c>
      <c r="L10" s="54" t="n">
        <v>24549</v>
      </c>
      <c r="M10" s="56" t="n">
        <v>4.3</v>
      </c>
    </row>
    <row r="11" ht="15" customHeight="1" s="51">
      <c r="A11" s="57" t="inlineStr">
        <is>
          <t>Oct-24</t>
        </is>
      </c>
      <c r="B11" s="57" t="inlineStr">
        <is>
          <t>Q4 2024</t>
        </is>
      </c>
      <c r="C11" s="58" t="n">
        <v>1333022</v>
      </c>
      <c r="D11" s="58" t="n">
        <v>159341</v>
      </c>
      <c r="E11" s="58" t="n">
        <v>41524</v>
      </c>
      <c r="F11" s="58" t="n">
        <v>42622</v>
      </c>
      <c r="G11" s="59" t="n">
        <v>620</v>
      </c>
      <c r="H11" s="59" t="n">
        <v>24</v>
      </c>
      <c r="I11" s="59" t="n">
        <v>11</v>
      </c>
      <c r="J11" s="59" t="n">
        <v>54</v>
      </c>
      <c r="K11" s="58" t="n">
        <v>5116</v>
      </c>
      <c r="L11" s="58" t="n">
        <v>28421</v>
      </c>
      <c r="M11" s="60" t="n">
        <v>4.3</v>
      </c>
    </row>
    <row r="12" ht="15" customHeight="1" s="51">
      <c r="A12" s="53" t="inlineStr">
        <is>
          <t>Nov-24</t>
        </is>
      </c>
      <c r="B12" s="53" t="inlineStr">
        <is>
          <t>Q4 2024</t>
        </is>
      </c>
      <c r="C12" s="54" t="n">
        <v>1382876</v>
      </c>
      <c r="D12" s="54" t="n">
        <v>158579</v>
      </c>
      <c r="E12" s="54" t="n">
        <v>35661</v>
      </c>
      <c r="F12" s="54" t="n">
        <v>39219</v>
      </c>
      <c r="G12" s="55" t="n">
        <v>646</v>
      </c>
      <c r="H12" s="55" t="n">
        <v>36</v>
      </c>
      <c r="I12" s="55" t="n">
        <v>10</v>
      </c>
      <c r="J12" s="55" t="n">
        <v>60</v>
      </c>
      <c r="K12" s="54" t="n">
        <v>4617</v>
      </c>
      <c r="L12" s="54" t="n">
        <v>24621</v>
      </c>
      <c r="M12" s="56" t="n">
        <v>4.7</v>
      </c>
    </row>
    <row r="13" ht="15" customHeight="1" s="51">
      <c r="A13" s="57" t="inlineStr">
        <is>
          <t>Dec-24</t>
        </is>
      </c>
      <c r="B13" s="57" t="inlineStr">
        <is>
          <t>Q4 2024</t>
        </is>
      </c>
      <c r="C13" s="58" t="n">
        <v>1430101</v>
      </c>
      <c r="D13" s="58" t="n">
        <v>149686</v>
      </c>
      <c r="E13" s="58" t="n">
        <v>20978</v>
      </c>
      <c r="F13" s="58" t="n">
        <v>25087</v>
      </c>
      <c r="G13" s="59" t="n">
        <v>661</v>
      </c>
      <c r="H13" s="59" t="n">
        <v>21</v>
      </c>
      <c r="I13" s="59" t="n">
        <v>6</v>
      </c>
      <c r="J13" s="59" t="n">
        <v>62</v>
      </c>
      <c r="K13" s="58" t="n">
        <v>4127</v>
      </c>
      <c r="L13" s="58" t="n">
        <v>26090</v>
      </c>
      <c r="M13" s="60" t="n">
        <v>4.4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J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50" min="1" max="1"/>
    <col width="16" customWidth="1" style="50" min="2" max="5"/>
    <col width="2" customWidth="1" style="50" min="6" max="6"/>
    <col width="16" customWidth="1" style="50" min="7" max="10"/>
    <col width="2" customWidth="1" style="50" min="11" max="11"/>
  </cols>
  <sheetData>
    <row r="1" ht="13.5" customHeight="1" s="51">
      <c r="B1" s="61" t="inlineStr">
        <is>
          <t>NovaSaaS — SaaS Operations KPI Dashboard  |  FY 2024</t>
        </is>
      </c>
    </row>
    <row r="2" ht="13.5" customHeight="1" s="51"/>
    <row r="3" ht="13.5" customHeight="1" s="51"/>
    <row r="4" ht="15.75" customHeight="1" s="51">
      <c r="B4" s="62" t="inlineStr">
        <is>
          <t>All figures based on FY 2024 monthly actuals. Benchmarks sourced from OpenView SaaS Benchmarks 2024.</t>
        </is>
      </c>
    </row>
    <row r="5" ht="7.5" customHeight="1" s="51"/>
    <row r="6" ht="13.5" customHeight="1" s="51">
      <c r="B6" s="63" t="inlineStr">
        <is>
          <t>Annual Recurring Revenue</t>
        </is>
      </c>
      <c r="D6" s="63" t="inlineStr">
        <is>
          <t>MRR (Dec-24)</t>
        </is>
      </c>
      <c r="G6" s="63" t="inlineStr">
        <is>
          <t>Active Customers</t>
        </is>
      </c>
      <c r="I6" s="63" t="inlineStr">
        <is>
          <t>Net Revenue Retention</t>
        </is>
      </c>
    </row>
    <row r="7" ht="13.5" customHeight="1" s="51">
      <c r="B7" s="64">
        <f>'KPI Calc'!B2</f>
        <v/>
      </c>
      <c r="D7" s="64">
        <f>'KPI Calc'!B5</f>
        <v/>
      </c>
      <c r="G7" s="65">
        <f>'KPI Calc'!B8</f>
        <v/>
      </c>
      <c r="I7" s="66">
        <f>'KPI Calc'!B11</f>
        <v/>
      </c>
    </row>
    <row r="8" ht="13.5" customHeight="1" s="51"/>
    <row r="9" ht="13.5" customHeight="1" s="51">
      <c r="B9" s="67">
        <f>'KPI Calc'!B3</f>
        <v/>
      </c>
      <c r="D9" s="68">
        <f>'KPI Calc'!B6</f>
        <v/>
      </c>
      <c r="G9" s="69">
        <f>'KPI Calc'!B9</f>
        <v/>
      </c>
      <c r="I9" s="68">
        <f>'KPI Calc'!B12</f>
        <v/>
      </c>
    </row>
    <row r="10" ht="13.5" customHeight="1" s="51"/>
    <row r="11" ht="13.5" customHeight="1" s="51">
      <c r="B11" s="70" t="inlineStr">
        <is>
          <t>vs Jan-24</t>
        </is>
      </c>
      <c r="D11" s="70" t="inlineStr">
        <is>
          <t>MoM growth</t>
        </is>
      </c>
      <c r="G11" s="70" t="inlineStr">
        <is>
          <t>vs Jan-24</t>
        </is>
      </c>
      <c r="I11" s="70" t="inlineStr">
        <is>
          <t>benchmark: &gt;110%</t>
        </is>
      </c>
    </row>
    <row r="12" ht="13.5" customHeight="1" s="51"/>
    <row r="13" ht="9.75" customHeight="1" s="51"/>
    <row r="14" ht="13.5" customHeight="1" s="51">
      <c r="B14" s="71" t="inlineStr">
        <is>
          <t>Avg NPS Score</t>
        </is>
      </c>
      <c r="D14" s="71" t="inlineStr">
        <is>
          <t>CAC Payback (mo.)</t>
        </is>
      </c>
      <c r="G14" s="71" t="inlineStr">
        <is>
          <t>LTV:CAC Ratio</t>
        </is>
      </c>
      <c r="I14" s="71" t="inlineStr">
        <is>
          <t>Gross Churn Rate</t>
        </is>
      </c>
    </row>
    <row r="15" ht="13.5" customHeight="1" s="51">
      <c r="B15" s="72">
        <f>'KPI Calc'!B14</f>
        <v/>
      </c>
      <c r="D15" s="72">
        <f>'KPI Calc'!B17</f>
        <v/>
      </c>
      <c r="G15" s="73">
        <f>'KPI Calc'!B20</f>
        <v/>
      </c>
      <c r="I15" s="74">
        <f>'KPI Calc'!B23</f>
        <v/>
      </c>
    </row>
    <row r="16" ht="13.5" customHeight="1" s="51"/>
    <row r="17" ht="13.5" customHeight="1" s="51">
      <c r="B17" s="75">
        <f>'KPI Calc'!B15</f>
        <v/>
      </c>
      <c r="D17" s="75">
        <f>'KPI Calc'!B18</f>
        <v/>
      </c>
      <c r="G17" s="76">
        <f>'KPI Calc'!B21</f>
        <v/>
      </c>
      <c r="I17" s="77">
        <f>'KPI Calc'!B24</f>
        <v/>
      </c>
    </row>
    <row r="18" ht="13.5" customHeight="1" s="51"/>
    <row r="19" ht="13.5" customHeight="1" s="51">
      <c r="B19" s="78" t="inlineStr">
        <is>
          <t>benchmark: 40–60</t>
        </is>
      </c>
      <c r="D19" s="78" t="inlineStr">
        <is>
          <t>benchmark: &lt;18mo</t>
        </is>
      </c>
      <c r="G19" s="78" t="inlineStr">
        <is>
          <t>benchmark: &gt;3x</t>
        </is>
      </c>
      <c r="I19" s="78" t="inlineStr">
        <is>
          <t>benchmark: &lt;10%</t>
        </is>
      </c>
    </row>
    <row r="20" ht="13.5" customHeight="1" s="51"/>
    <row r="21" ht="12" customHeight="1" s="51"/>
    <row r="22" ht="18" customHeight="1" s="51">
      <c r="B22" s="79" t="inlineStr">
        <is>
          <t>Monthly Trends</t>
        </is>
      </c>
    </row>
    <row r="23" ht="15" customHeight="1" s="51">
      <c r="B23" s="80" t="inlineStr">
        <is>
          <t>MRR Trend: Monthly ($)</t>
        </is>
      </c>
      <c r="G23" s="80" t="inlineStr">
        <is>
          <t>Customer Cohort: Q1 to Q4 2024</t>
        </is>
      </c>
    </row>
    <row r="24" ht="15" customHeight="1" s="51">
      <c r="B24" s="81" t="inlineStr">
        <is>
          <t>Month</t>
        </is>
      </c>
      <c r="C24" s="81" t="inlineStr">
        <is>
          <t>MRR</t>
        </is>
      </c>
      <c r="D24" s="81" t="inlineStr">
        <is>
          <t>MoM Δ</t>
        </is>
      </c>
      <c r="E24" s="81" t="inlineStr">
        <is>
          <t>NPS</t>
        </is>
      </c>
      <c r="G24" s="81" t="inlineStr">
        <is>
          <t>Quarter</t>
        </is>
      </c>
      <c r="H24" s="81" t="inlineStr">
        <is>
          <t>New Cust.</t>
        </is>
      </c>
      <c r="I24" s="81" t="inlineStr">
        <is>
          <t>Churned</t>
        </is>
      </c>
      <c r="J24" s="81" t="inlineStr">
        <is>
          <t>Net Add</t>
        </is>
      </c>
    </row>
    <row r="25" ht="27.75" customHeight="1" s="51">
      <c r="B25" s="82">
        <f>'Raw Data'!A2</f>
        <v/>
      </c>
      <c r="C25" s="83">
        <f>'Raw Data'!C2</f>
        <v/>
      </c>
      <c r="D25" s="82" t="inlineStr">
        <is>
          <t>—</t>
        </is>
      </c>
      <c r="E25" s="82">
        <f>'Raw Data'!J2</f>
        <v/>
      </c>
      <c r="G25" s="84" t="inlineStr">
        <is>
          <t>Q1 2024</t>
        </is>
      </c>
      <c r="H25" s="85">
        <f>SUM('Raw Data'!H2:H4)</f>
        <v/>
      </c>
      <c r="I25" s="85">
        <f>SUM('Raw Data'!I2:I4)</f>
        <v/>
      </c>
      <c r="J25" s="85">
        <f>H25-I25</f>
        <v/>
      </c>
    </row>
    <row r="26" ht="12.75" customHeight="1" s="51">
      <c r="B26" s="86">
        <f>'Raw Data'!A3</f>
        <v/>
      </c>
      <c r="C26" s="87">
        <f>'Raw Data'!C3</f>
        <v/>
      </c>
      <c r="D26" s="88">
        <f>'Raw Data'!C3/'Raw Data'!C2-1</f>
        <v/>
      </c>
      <c r="E26" s="86">
        <f>'Raw Data'!J3</f>
        <v/>
      </c>
      <c r="G26" s="89" t="n"/>
      <c r="H26" s="90" t="n"/>
      <c r="I26" s="90" t="n"/>
      <c r="J26" s="90" t="n"/>
    </row>
    <row r="27" ht="12.75" customHeight="1" s="51">
      <c r="B27" s="82">
        <f>'Raw Data'!A4</f>
        <v/>
      </c>
      <c r="C27" s="83">
        <f>'Raw Data'!C4</f>
        <v/>
      </c>
      <c r="D27" s="91">
        <f>'Raw Data'!C4/'Raw Data'!C3-1</f>
        <v/>
      </c>
      <c r="E27" s="82">
        <f>'Raw Data'!J4</f>
        <v/>
      </c>
      <c r="G27" s="89" t="n"/>
      <c r="H27" s="90" t="n"/>
      <c r="I27" s="90" t="n"/>
      <c r="J27" s="90" t="n"/>
    </row>
    <row r="28" ht="27.75" customHeight="1" s="51">
      <c r="B28" s="86">
        <f>'Raw Data'!A5</f>
        <v/>
      </c>
      <c r="C28" s="87">
        <f>'Raw Data'!C5</f>
        <v/>
      </c>
      <c r="D28" s="88">
        <f>'Raw Data'!C5/'Raw Data'!C4-1</f>
        <v/>
      </c>
      <c r="E28" s="86">
        <f>'Raw Data'!J5</f>
        <v/>
      </c>
      <c r="G28" s="84" t="inlineStr">
        <is>
          <t>Q2 2024</t>
        </is>
      </c>
      <c r="H28" s="85">
        <f>SUM('Raw Data'!H5:H7)</f>
        <v/>
      </c>
      <c r="I28" s="85">
        <f>SUM('Raw Data'!I5:I7)</f>
        <v/>
      </c>
      <c r="J28" s="85">
        <f>H28-I28</f>
        <v/>
      </c>
    </row>
    <row r="29" ht="12.75" customHeight="1" s="51">
      <c r="B29" s="82">
        <f>'Raw Data'!A6</f>
        <v/>
      </c>
      <c r="C29" s="83">
        <f>'Raw Data'!C6</f>
        <v/>
      </c>
      <c r="D29" s="91">
        <f>'Raw Data'!C6/'Raw Data'!C5-1</f>
        <v/>
      </c>
      <c r="E29" s="82">
        <f>'Raw Data'!J6</f>
        <v/>
      </c>
      <c r="G29" s="89" t="n"/>
      <c r="H29" s="90" t="n"/>
      <c r="I29" s="90" t="n"/>
      <c r="J29" s="90" t="n"/>
    </row>
    <row r="30" ht="12.75" customHeight="1" s="51">
      <c r="B30" s="86">
        <f>'Raw Data'!A7</f>
        <v/>
      </c>
      <c r="C30" s="87">
        <f>'Raw Data'!C7</f>
        <v/>
      </c>
      <c r="D30" s="88">
        <f>'Raw Data'!C7/'Raw Data'!C6-1</f>
        <v/>
      </c>
      <c r="E30" s="86">
        <f>'Raw Data'!J7</f>
        <v/>
      </c>
      <c r="G30" s="89" t="n"/>
      <c r="H30" s="90" t="n"/>
      <c r="I30" s="90" t="n"/>
      <c r="J30" s="90" t="n"/>
    </row>
    <row r="31" ht="27.75" customHeight="1" s="51">
      <c r="B31" s="82">
        <f>'Raw Data'!A8</f>
        <v/>
      </c>
      <c r="C31" s="83">
        <f>'Raw Data'!C8</f>
        <v/>
      </c>
      <c r="D31" s="91">
        <f>'Raw Data'!C8/'Raw Data'!C7-1</f>
        <v/>
      </c>
      <c r="E31" s="82">
        <f>'Raw Data'!J8</f>
        <v/>
      </c>
      <c r="G31" s="84" t="inlineStr">
        <is>
          <t>Q3 2024</t>
        </is>
      </c>
      <c r="H31" s="85">
        <f>SUM('Raw Data'!H8:H10)</f>
        <v/>
      </c>
      <c r="I31" s="85">
        <f>SUM('Raw Data'!I8:I10)</f>
        <v/>
      </c>
      <c r="J31" s="85">
        <f>H31-I31</f>
        <v/>
      </c>
    </row>
    <row r="32" ht="12.75" customHeight="1" s="51">
      <c r="B32" s="86">
        <f>'Raw Data'!A9</f>
        <v/>
      </c>
      <c r="C32" s="87">
        <f>'Raw Data'!C9</f>
        <v/>
      </c>
      <c r="D32" s="88">
        <f>'Raw Data'!C9/'Raw Data'!C8-1</f>
        <v/>
      </c>
      <c r="E32" s="86">
        <f>'Raw Data'!J9</f>
        <v/>
      </c>
      <c r="G32" s="89" t="n"/>
      <c r="H32" s="90" t="n"/>
      <c r="I32" s="90" t="n"/>
      <c r="J32" s="90" t="n"/>
    </row>
    <row r="33" ht="12.75" customHeight="1" s="51">
      <c r="B33" s="82">
        <f>'Raw Data'!A10</f>
        <v/>
      </c>
      <c r="C33" s="83">
        <f>'Raw Data'!C10</f>
        <v/>
      </c>
      <c r="D33" s="91">
        <f>'Raw Data'!C10/'Raw Data'!C9-1</f>
        <v/>
      </c>
      <c r="E33" s="82">
        <f>'Raw Data'!J10</f>
        <v/>
      </c>
      <c r="G33" s="89" t="n"/>
      <c r="H33" s="90" t="n"/>
      <c r="I33" s="90" t="n"/>
      <c r="J33" s="90" t="n"/>
    </row>
    <row r="34" ht="27.75" customHeight="1" s="51">
      <c r="B34" s="86">
        <f>'Raw Data'!A11</f>
        <v/>
      </c>
      <c r="C34" s="87">
        <f>'Raw Data'!C11</f>
        <v/>
      </c>
      <c r="D34" s="88">
        <f>'Raw Data'!C11/'Raw Data'!C10-1</f>
        <v/>
      </c>
      <c r="E34" s="86">
        <f>'Raw Data'!J11</f>
        <v/>
      </c>
      <c r="G34" s="84" t="inlineStr">
        <is>
          <t>Q4 2024</t>
        </is>
      </c>
      <c r="H34" s="85">
        <f>SUM('Raw Data'!H11:H13)</f>
        <v/>
      </c>
      <c r="I34" s="85">
        <f>SUM('Raw Data'!I11:I13)</f>
        <v/>
      </c>
      <c r="J34" s="85">
        <f>H34-I34</f>
        <v/>
      </c>
    </row>
    <row r="35" ht="12.75" customHeight="1" s="51">
      <c r="B35" s="82">
        <f>'Raw Data'!A12</f>
        <v/>
      </c>
      <c r="C35" s="83">
        <f>'Raw Data'!C12</f>
        <v/>
      </c>
      <c r="D35" s="91">
        <f>'Raw Data'!C12/'Raw Data'!C11-1</f>
        <v/>
      </c>
      <c r="E35" s="82">
        <f>'Raw Data'!J12</f>
        <v/>
      </c>
      <c r="G35" s="89" t="n"/>
      <c r="H35" s="90" t="n"/>
      <c r="I35" s="90" t="n"/>
      <c r="J35" s="90" t="n"/>
    </row>
    <row r="36" ht="12.75" customHeight="1" s="51">
      <c r="B36" s="86">
        <f>'Raw Data'!A13</f>
        <v/>
      </c>
      <c r="C36" s="87">
        <f>'Raw Data'!C13</f>
        <v/>
      </c>
      <c r="D36" s="88">
        <f>'Raw Data'!C13/'Raw Data'!C12-1</f>
        <v/>
      </c>
      <c r="E36" s="86">
        <f>'Raw Data'!J13</f>
        <v/>
      </c>
      <c r="G36" s="89" t="n"/>
      <c r="H36" s="90" t="n"/>
      <c r="I36" s="90" t="n"/>
      <c r="J36" s="90" t="n"/>
    </row>
  </sheetData>
  <mergeCells count="41">
    <mergeCell ref="I6:J6"/>
    <mergeCell ref="D7:E8"/>
    <mergeCell ref="I17:J18"/>
    <mergeCell ref="G15:H16"/>
    <mergeCell ref="B19:C20"/>
    <mergeCell ref="B15:C16"/>
    <mergeCell ref="D15:E16"/>
    <mergeCell ref="B1:J3"/>
    <mergeCell ref="B9:C10"/>
    <mergeCell ref="D9:E10"/>
    <mergeCell ref="D6:E6"/>
    <mergeCell ref="G31:G33"/>
    <mergeCell ref="G25:G27"/>
    <mergeCell ref="I19:J20"/>
    <mergeCell ref="B14:C14"/>
    <mergeCell ref="G6:H6"/>
    <mergeCell ref="D19:E20"/>
    <mergeCell ref="G9:H10"/>
    <mergeCell ref="I9:J10"/>
    <mergeCell ref="G23:J23"/>
    <mergeCell ref="B7:C8"/>
    <mergeCell ref="I15:J16"/>
    <mergeCell ref="G11:H12"/>
    <mergeCell ref="I11:J12"/>
    <mergeCell ref="G14:H14"/>
    <mergeCell ref="B4:J4"/>
    <mergeCell ref="I14:J14"/>
    <mergeCell ref="G17:H18"/>
    <mergeCell ref="B6:C6"/>
    <mergeCell ref="B23:E23"/>
    <mergeCell ref="G7:H8"/>
    <mergeCell ref="I7:J8"/>
    <mergeCell ref="B17:C18"/>
    <mergeCell ref="B11:C12"/>
    <mergeCell ref="D17:E18"/>
    <mergeCell ref="B22:J22"/>
    <mergeCell ref="D11:E12"/>
    <mergeCell ref="G34:G36"/>
    <mergeCell ref="D14:E14"/>
    <mergeCell ref="G19:H20"/>
    <mergeCell ref="G28:G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50" min="1" max="1"/>
    <col width="20" customWidth="1" style="50" min="2" max="2"/>
  </cols>
  <sheetData>
    <row r="1" ht="15" customHeight="1" s="51">
      <c r="A1" s="92" t="inlineStr">
        <is>
          <t>ARR (Dec-24)</t>
        </is>
      </c>
      <c r="B1" s="93">
        <f>'Raw Data'!C13*12</f>
        <v/>
      </c>
    </row>
    <row r="2" ht="15" customHeight="1" s="51">
      <c r="A2" s="92" t="inlineStr">
        <is>
          <t>ARR vs Jan-24</t>
        </is>
      </c>
      <c r="B2" s="94">
        <f>'Raw Data'!C13*12</f>
        <v/>
      </c>
    </row>
    <row r="3" ht="15" customHeight="1" s="51">
      <c r="A3" s="92" t="n"/>
      <c r="B3" s="94">
        <f>B2-'Raw Data'!C2*12</f>
        <v/>
      </c>
    </row>
    <row r="4" ht="15" customHeight="1" s="51">
      <c r="A4" s="92" t="inlineStr">
        <is>
          <t>MRR Dec-24</t>
        </is>
      </c>
      <c r="B4" s="93">
        <f>'Raw Data'!C13</f>
        <v/>
      </c>
    </row>
    <row r="5" ht="15" customHeight="1" s="51">
      <c r="A5" s="92" t="inlineStr">
        <is>
          <t>MRR MoM Growth</t>
        </is>
      </c>
      <c r="B5" s="94">
        <f>'Raw Data'!C13</f>
        <v/>
      </c>
    </row>
    <row r="6" ht="15" customHeight="1" s="51">
      <c r="A6" s="92" t="n"/>
      <c r="B6" s="94">
        <f>'Raw Data'!C13/'Raw Data'!C12-1</f>
        <v/>
      </c>
    </row>
    <row r="7" ht="15" customHeight="1" s="51">
      <c r="A7" s="92" t="inlineStr">
        <is>
          <t>Active Customers Dec-24</t>
        </is>
      </c>
      <c r="B7" s="95">
        <f>'Raw Data'!G13</f>
        <v/>
      </c>
    </row>
    <row r="8" ht="15" customHeight="1" s="51">
      <c r="A8" s="92" t="inlineStr">
        <is>
          <t>Customer Growth vs Jan-24</t>
        </is>
      </c>
      <c r="B8" s="94">
        <f>'Raw Data'!G13</f>
        <v/>
      </c>
    </row>
    <row r="9" ht="15" customHeight="1" s="51">
      <c r="A9" s="92" t="n"/>
      <c r="B9" s="94">
        <f>'Raw Data'!G13-'Raw Data'!G2</f>
        <v/>
      </c>
    </row>
    <row r="10" ht="15" customHeight="1" s="51">
      <c r="A10" s="92" t="inlineStr">
        <is>
          <t>Net Revenue Retention</t>
        </is>
      </c>
      <c r="B10" s="96">
        <f>('Raw Data'!C13*12)/('Raw Data'!C2*12)</f>
        <v/>
      </c>
    </row>
    <row r="11" ht="15" customHeight="1" s="51">
      <c r="A11" s="92" t="inlineStr">
        <is>
          <t>NRR vs 110% benchmark</t>
        </is>
      </c>
      <c r="B11" s="94">
        <f>('Raw Data'!C13*12)/('Raw Data'!C2*12)</f>
        <v/>
      </c>
    </row>
    <row r="12" ht="15" customHeight="1" s="51">
      <c r="A12" s="92" t="n"/>
      <c r="B12" s="94">
        <f>B11-1.1</f>
        <v/>
      </c>
    </row>
    <row r="13" ht="15" customHeight="1" s="51">
      <c r="A13" s="92" t="inlineStr">
        <is>
          <t>Avg NPS (Full Year)</t>
        </is>
      </c>
      <c r="B13" s="97">
        <f>AVERAGE('Raw Data'!J2:J13)</f>
        <v/>
      </c>
    </row>
    <row r="14" ht="15" customHeight="1" s="51">
      <c r="A14" s="92" t="inlineStr">
        <is>
          <t>NPS vs 50 benchmark</t>
        </is>
      </c>
      <c r="B14" s="94">
        <f>AVERAGE('Raw Data'!J2:J13)</f>
        <v/>
      </c>
    </row>
    <row r="15" ht="15" customHeight="1" s="51">
      <c r="A15" s="92" t="n"/>
      <c r="B15" s="94">
        <f>B14-50</f>
        <v/>
      </c>
    </row>
    <row r="16" ht="15" customHeight="1" s="51">
      <c r="A16" s="92" t="inlineStr">
        <is>
          <t>CAC Payback (months)</t>
        </is>
      </c>
      <c r="B16" s="97">
        <f>AVERAGE('Raw Data'!K2:K13)/('Raw Data'!C13/AVERAGE('Raw Data'!G2:G13))</f>
        <v/>
      </c>
    </row>
    <row r="17" ht="15" customHeight="1" s="51">
      <c r="A17" s="92" t="inlineStr">
        <is>
          <t>Payback vs 18mo benchmark</t>
        </is>
      </c>
      <c r="B17" s="94">
        <f>AVERAGE('Raw Data'!K2:K13)/(('Raw Data'!C13)/AVERAGE('Raw Data'!G2:G13))</f>
        <v/>
      </c>
    </row>
    <row r="18" ht="15" customHeight="1" s="51">
      <c r="A18" s="92" t="n"/>
      <c r="B18" s="94">
        <f>B17-18</f>
        <v/>
      </c>
    </row>
    <row r="19" ht="15" customHeight="1" s="51">
      <c r="A19" s="92" t="inlineStr">
        <is>
          <t>LTV:CAC Ratio</t>
        </is>
      </c>
      <c r="B19" s="98">
        <f>AVERAGE('Raw Data'!L2:L13)/AVERAGE('Raw Data'!K2:K13)</f>
        <v/>
      </c>
    </row>
    <row r="20" ht="15" customHeight="1" s="51">
      <c r="A20" s="92" t="inlineStr">
        <is>
          <t>LTV:CAC vs 3x benchmark</t>
        </is>
      </c>
      <c r="B20" s="94">
        <f>AVERAGE('Raw Data'!L2:L13)/AVERAGE('Raw Data'!K2:K13)</f>
        <v/>
      </c>
    </row>
    <row r="21" ht="15" customHeight="1" s="51">
      <c r="A21" s="92" t="n"/>
      <c r="B21" s="94">
        <f>B20-3</f>
        <v/>
      </c>
    </row>
    <row r="22" ht="15" customHeight="1" s="51">
      <c r="A22" s="92" t="inlineStr">
        <is>
          <t>Gross Annual Churn Rate</t>
        </is>
      </c>
      <c r="B22" s="96">
        <f>SUM('Raw Data'!E2:E13)/('Raw Data'!C2*12)</f>
        <v/>
      </c>
    </row>
    <row r="23" ht="15" customHeight="1" s="51">
      <c r="A23" s="92" t="inlineStr">
        <is>
          <t>Churn vs 10% benchmark</t>
        </is>
      </c>
      <c r="B23" s="94">
        <f>SUM('Raw Data'!E2:E13)/('Raw Data'!C2*12)</f>
        <v/>
      </c>
    </row>
    <row r="24" ht="15" customHeight="1" s="51">
      <c r="B24" s="94">
        <f>B23-0.1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16" customWidth="1" style="50" min="2" max="13"/>
  </cols>
  <sheetData>
    <row r="1" ht="15" customHeight="1" s="51">
      <c r="A1" s="50" t="inlineStr">
        <is>
          <t>Month</t>
        </is>
      </c>
      <c r="B1" s="50" t="inlineStr">
        <is>
          <t>MRR ($)</t>
        </is>
      </c>
      <c r="C1" s="50" t="inlineStr">
        <is>
          <t>New ARR</t>
        </is>
      </c>
      <c r="D1" s="50" t="inlineStr">
        <is>
          <t>Churn ARR</t>
        </is>
      </c>
      <c r="E1" s="50" t="inlineStr">
        <is>
          <t>NPS</t>
        </is>
      </c>
      <c r="F1" s="50" t="inlineStr">
        <is>
          <t>Customers</t>
        </is>
      </c>
    </row>
    <row r="2" ht="15" customHeight="1" s="51">
      <c r="A2" s="50">
        <f>'Raw Data'!A2</f>
        <v/>
      </c>
      <c r="B2" s="99">
        <f>'Raw Data'!C2</f>
        <v/>
      </c>
      <c r="C2" s="99">
        <f>'Raw Data'!D2</f>
        <v/>
      </c>
      <c r="D2" s="99">
        <f>'Raw Data'!E2</f>
        <v/>
      </c>
      <c r="E2" s="50">
        <f>'Raw Data'!J2</f>
        <v/>
      </c>
      <c r="F2" s="50">
        <f>'Raw Data'!G2</f>
        <v/>
      </c>
    </row>
    <row r="3" ht="15" customHeight="1" s="51">
      <c r="A3" s="50">
        <f>'Raw Data'!A3</f>
        <v/>
      </c>
      <c r="B3" s="99">
        <f>'Raw Data'!C3</f>
        <v/>
      </c>
      <c r="C3" s="99">
        <f>'Raw Data'!D3</f>
        <v/>
      </c>
      <c r="D3" s="99">
        <f>'Raw Data'!E3</f>
        <v/>
      </c>
      <c r="E3" s="50">
        <f>'Raw Data'!J3</f>
        <v/>
      </c>
      <c r="F3" s="50">
        <f>'Raw Data'!G3</f>
        <v/>
      </c>
    </row>
    <row r="4" ht="15" customHeight="1" s="51">
      <c r="A4" s="50">
        <f>'Raw Data'!A4</f>
        <v/>
      </c>
      <c r="B4" s="99">
        <f>'Raw Data'!C4</f>
        <v/>
      </c>
      <c r="C4" s="99">
        <f>'Raw Data'!D4</f>
        <v/>
      </c>
      <c r="D4" s="99">
        <f>'Raw Data'!E4</f>
        <v/>
      </c>
      <c r="E4" s="50">
        <f>'Raw Data'!J4</f>
        <v/>
      </c>
      <c r="F4" s="50">
        <f>'Raw Data'!G4</f>
        <v/>
      </c>
    </row>
    <row r="5" ht="15" customHeight="1" s="51">
      <c r="A5" s="50">
        <f>'Raw Data'!A5</f>
        <v/>
      </c>
      <c r="B5" s="99">
        <f>'Raw Data'!C5</f>
        <v/>
      </c>
      <c r="C5" s="99">
        <f>'Raw Data'!D5</f>
        <v/>
      </c>
      <c r="D5" s="99">
        <f>'Raw Data'!E5</f>
        <v/>
      </c>
      <c r="E5" s="50">
        <f>'Raw Data'!J5</f>
        <v/>
      </c>
      <c r="F5" s="50">
        <f>'Raw Data'!G5</f>
        <v/>
      </c>
    </row>
    <row r="6" ht="15" customHeight="1" s="51">
      <c r="A6" s="50">
        <f>'Raw Data'!A6</f>
        <v/>
      </c>
      <c r="B6" s="99">
        <f>'Raw Data'!C6</f>
        <v/>
      </c>
      <c r="C6" s="99">
        <f>'Raw Data'!D6</f>
        <v/>
      </c>
      <c r="D6" s="99">
        <f>'Raw Data'!E6</f>
        <v/>
      </c>
      <c r="E6" s="50">
        <f>'Raw Data'!J6</f>
        <v/>
      </c>
      <c r="F6" s="50">
        <f>'Raw Data'!G6</f>
        <v/>
      </c>
    </row>
    <row r="7" ht="15" customHeight="1" s="51">
      <c r="A7" s="50">
        <f>'Raw Data'!A7</f>
        <v/>
      </c>
      <c r="B7" s="99">
        <f>'Raw Data'!C7</f>
        <v/>
      </c>
      <c r="C7" s="99">
        <f>'Raw Data'!D7</f>
        <v/>
      </c>
      <c r="D7" s="99">
        <f>'Raw Data'!E7</f>
        <v/>
      </c>
      <c r="E7" s="50">
        <f>'Raw Data'!J7</f>
        <v/>
      </c>
      <c r="F7" s="50">
        <f>'Raw Data'!G7</f>
        <v/>
      </c>
    </row>
    <row r="8" ht="15" customHeight="1" s="51">
      <c r="A8" s="50">
        <f>'Raw Data'!A8</f>
        <v/>
      </c>
      <c r="B8" s="99">
        <f>'Raw Data'!C8</f>
        <v/>
      </c>
      <c r="C8" s="99">
        <f>'Raw Data'!D8</f>
        <v/>
      </c>
      <c r="D8" s="99">
        <f>'Raw Data'!E8</f>
        <v/>
      </c>
      <c r="E8" s="50">
        <f>'Raw Data'!J8</f>
        <v/>
      </c>
      <c r="F8" s="50">
        <f>'Raw Data'!G8</f>
        <v/>
      </c>
    </row>
    <row r="9" ht="15" customHeight="1" s="51">
      <c r="A9" s="50">
        <f>'Raw Data'!A9</f>
        <v/>
      </c>
      <c r="B9" s="99">
        <f>'Raw Data'!C9</f>
        <v/>
      </c>
      <c r="C9" s="99">
        <f>'Raw Data'!D9</f>
        <v/>
      </c>
      <c r="D9" s="99">
        <f>'Raw Data'!E9</f>
        <v/>
      </c>
      <c r="E9" s="50">
        <f>'Raw Data'!J9</f>
        <v/>
      </c>
      <c r="F9" s="50">
        <f>'Raw Data'!G9</f>
        <v/>
      </c>
    </row>
    <row r="10" ht="15" customHeight="1" s="51">
      <c r="A10" s="50">
        <f>'Raw Data'!A10</f>
        <v/>
      </c>
      <c r="B10" s="99">
        <f>'Raw Data'!C10</f>
        <v/>
      </c>
      <c r="C10" s="99">
        <f>'Raw Data'!D10</f>
        <v/>
      </c>
      <c r="D10" s="99">
        <f>'Raw Data'!E10</f>
        <v/>
      </c>
      <c r="E10" s="50">
        <f>'Raw Data'!J10</f>
        <v/>
      </c>
      <c r="F10" s="50">
        <f>'Raw Data'!G10</f>
        <v/>
      </c>
    </row>
    <row r="11" ht="15" customHeight="1" s="51">
      <c r="A11" s="50">
        <f>'Raw Data'!A11</f>
        <v/>
      </c>
      <c r="B11" s="99">
        <f>'Raw Data'!C11</f>
        <v/>
      </c>
      <c r="C11" s="99">
        <f>'Raw Data'!D11</f>
        <v/>
      </c>
      <c r="D11" s="99">
        <f>'Raw Data'!E11</f>
        <v/>
      </c>
      <c r="E11" s="50">
        <f>'Raw Data'!J11</f>
        <v/>
      </c>
      <c r="F11" s="50">
        <f>'Raw Data'!G11</f>
        <v/>
      </c>
    </row>
    <row r="12" ht="15" customHeight="1" s="51">
      <c r="A12" s="50">
        <f>'Raw Data'!A12</f>
        <v/>
      </c>
      <c r="B12" s="99">
        <f>'Raw Data'!C12</f>
        <v/>
      </c>
      <c r="C12" s="99">
        <f>'Raw Data'!D12</f>
        <v/>
      </c>
      <c r="D12" s="99">
        <f>'Raw Data'!E12</f>
        <v/>
      </c>
      <c r="E12" s="50">
        <f>'Raw Data'!J12</f>
        <v/>
      </c>
      <c r="F12" s="50">
        <f>'Raw Data'!G12</f>
        <v/>
      </c>
    </row>
    <row r="13" ht="15" customHeight="1" s="51">
      <c r="A13" s="50">
        <f>'Raw Data'!A13</f>
        <v/>
      </c>
      <c r="B13" s="99">
        <f>'Raw Data'!C13</f>
        <v/>
      </c>
      <c r="C13" s="99">
        <f>'Raw Data'!D13</f>
        <v/>
      </c>
      <c r="D13" s="99">
        <f>'Raw Data'!E13</f>
        <v/>
      </c>
      <c r="E13" s="50">
        <f>'Raw Data'!J13</f>
        <v/>
      </c>
      <c r="F13" s="50">
        <f>'Raw Data'!G13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2026-03-16T23:50:58Z</dcterms:created>
  <dcterms:modified xmlns:dcterms="http://purl.org/dc/terms/" xmlns:xsi="http://www.w3.org/2001/XMLSchema-instance" xsi:type="dcterms:W3CDTF">2026-03-25T21:54:07Z</dcterms:modified>
  <cp:revision>2</cp:revision>
</cp:coreProperties>
</file>